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alva/evalRQ1/"/>
    </mc:Choice>
  </mc:AlternateContent>
  <xr:revisionPtr revIDLastSave="0" documentId="13_ncr:1_{938D13BA-94CE-EB43-B1E5-92BB2BAA6346}" xr6:coauthVersionLast="47" xr6:coauthVersionMax="47" xr10:uidLastSave="{00000000-0000-0000-0000-000000000000}"/>
  <bookViews>
    <workbookView xWindow="1080" yWindow="900" windowWidth="28040" windowHeight="17180" xr2:uid="{03A8164C-FD1A-4248-A4E4-BFC8E1808896}"/>
  </bookViews>
  <sheets>
    <sheet name="evaluation_results WaterM" sheetId="1" r:id="rId1"/>
    <sheet name="Feuil1" sheetId="5" r:id="rId2"/>
    <sheet name="Perso" sheetId="2" r:id="rId3"/>
    <sheet name="Google" sheetId="3" r:id="rId4"/>
    <sheet name="OpenCart" sheetId="4" r:id="rId5"/>
  </sheets>
  <definedNames>
    <definedName name="_xlchart.v1.0" hidden="1">'evaluation_results WaterM'!$D$1</definedName>
    <definedName name="_xlchart.v1.1" hidden="1">'evaluation_results WaterM'!$D$2:$D$34</definedName>
    <definedName name="_xlchart.v1.10" hidden="1">Perso!$D$2:$D$12</definedName>
    <definedName name="_xlchart.v1.11" hidden="1">Perso!$E$1</definedName>
    <definedName name="_xlchart.v1.12" hidden="1">Perso!$E$2:$E$12</definedName>
    <definedName name="_xlchart.v1.13" hidden="1">Google!$D$1</definedName>
    <definedName name="_xlchart.v1.14" hidden="1">Google!$D$2:$D$12</definedName>
    <definedName name="_xlchart.v1.15" hidden="1">Google!$E$1</definedName>
    <definedName name="_xlchart.v1.16" hidden="1">Google!$E$2:$E$12</definedName>
    <definedName name="_xlchart.v1.17" hidden="1">OpenCart!$D$1</definedName>
    <definedName name="_xlchart.v1.18" hidden="1">OpenCart!$D$2:$D$43</definedName>
    <definedName name="_xlchart.v1.19" hidden="1">OpenCart!$E$1</definedName>
    <definedName name="_xlchart.v1.2" hidden="1">'evaluation_results WaterM'!$E$1</definedName>
    <definedName name="_xlchart.v1.20" hidden="1">OpenCart!$E$2:$E$43</definedName>
    <definedName name="_xlchart.v1.21" hidden="1">OpenCart!$D$1</definedName>
    <definedName name="_xlchart.v1.22" hidden="1">OpenCart!$D$2:$D$43</definedName>
    <definedName name="_xlchart.v1.23" hidden="1">OpenCart!$E$1</definedName>
    <definedName name="_xlchart.v1.24" hidden="1">OpenCart!$E$2:$E$43</definedName>
    <definedName name="_xlchart.v1.3" hidden="1">'evaluation_results WaterM'!$E$2:$E$34</definedName>
    <definedName name="_xlchart.v1.4" hidden="1">Feuil1!$C$1:$C$2</definedName>
    <definedName name="_xlchart.v1.5" hidden="1">Feuil1!$C$2:$D$2</definedName>
    <definedName name="_xlchart.v1.6" hidden="1">Feuil1!$C$3:$C$57</definedName>
    <definedName name="_xlchart.v1.7" hidden="1">Feuil1!$D$1:$D$2</definedName>
    <definedName name="_xlchart.v1.8" hidden="1">Feuil1!$D$3:$D$57</definedName>
    <definedName name="_xlchart.v1.9" hidden="1">Perso!$D$1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4" l="1"/>
  <c r="E53" i="4"/>
  <c r="E52" i="4"/>
  <c r="E48" i="4"/>
  <c r="E47" i="4"/>
  <c r="E46" i="4"/>
  <c r="D47" i="4"/>
  <c r="D46" i="4"/>
  <c r="D53" i="4"/>
  <c r="D52" i="4"/>
  <c r="E51" i="4"/>
  <c r="D51" i="4"/>
  <c r="E45" i="4"/>
  <c r="D45" i="4"/>
  <c r="E21" i="3"/>
  <c r="E20" i="3"/>
  <c r="E19" i="3"/>
  <c r="E18" i="3"/>
  <c r="D21" i="3"/>
  <c r="D20" i="3"/>
  <c r="D19" i="3"/>
  <c r="D18" i="3"/>
  <c r="E22" i="2"/>
  <c r="E21" i="2"/>
  <c r="E20" i="2"/>
  <c r="E19" i="2"/>
  <c r="D22" i="2"/>
  <c r="D21" i="2"/>
  <c r="D20" i="2"/>
  <c r="D19" i="2"/>
  <c r="E43" i="1"/>
  <c r="E42" i="1"/>
  <c r="E41" i="1"/>
  <c r="D42" i="1"/>
  <c r="D41" i="1"/>
  <c r="E40" i="1"/>
  <c r="E18" i="2"/>
  <c r="D18" i="2"/>
  <c r="D64" i="5"/>
  <c r="C64" i="5"/>
  <c r="D63" i="5"/>
  <c r="D62" i="5"/>
  <c r="D61" i="5"/>
  <c r="D60" i="5"/>
  <c r="D59" i="5"/>
  <c r="C59" i="5"/>
  <c r="C63" i="5"/>
  <c r="C61" i="5"/>
  <c r="C60" i="5"/>
  <c r="E17" i="3"/>
  <c r="E16" i="3"/>
  <c r="D17" i="3"/>
  <c r="D16" i="3"/>
  <c r="E15" i="3"/>
  <c r="D15" i="3"/>
  <c r="E14" i="3"/>
  <c r="D14" i="3"/>
  <c r="E13" i="3"/>
  <c r="D13" i="3"/>
  <c r="E17" i="2"/>
  <c r="E16" i="2"/>
  <c r="D17" i="2"/>
  <c r="D16" i="2"/>
  <c r="E15" i="2"/>
  <c r="D15" i="2"/>
  <c r="E14" i="2"/>
  <c r="D14" i="2"/>
  <c r="E13" i="2"/>
  <c r="D13" i="2"/>
  <c r="E37" i="1"/>
  <c r="D37" i="1"/>
  <c r="E36" i="1"/>
  <c r="D36" i="1"/>
  <c r="E49" i="4" l="1"/>
  <c r="D49" i="4"/>
  <c r="D54" i="4"/>
  <c r="D48" i="4"/>
  <c r="D43" i="1"/>
  <c r="E39" i="1"/>
  <c r="D39" i="1"/>
  <c r="D38" i="1"/>
  <c r="E38" i="1"/>
  <c r="C62" i="5"/>
</calcChain>
</file>

<file path=xl/sharedStrings.xml><?xml version="1.0" encoding="utf-8"?>
<sst xmlns="http://schemas.openxmlformats.org/spreadsheetml/2006/main" count="237" uniqueCount="130">
  <si>
    <t>ai_index</t>
  </si>
  <si>
    <t>ai_name</t>
  </si>
  <si>
    <t>best_human_match_index</t>
  </si>
  <si>
    <t>bert_score_f1</t>
  </si>
  <si>
    <t>moverscore</t>
  </si>
  <si>
    <t>login - login - dashboard - vendors - vendors</t>
  </si>
  <si>
    <t>login - login - dashboard - customer - customers</t>
  </si>
  <si>
    <t>login - login - dashboard - products - products</t>
  </si>
  <si>
    <t>login - login - dashboard - orders - orders</t>
  </si>
  <si>
    <t>login - login - dashboard</t>
  </si>
  <si>
    <t>login - login - dashboard - vendors - vendors - go - vendors search results</t>
  </si>
  <si>
    <t>login - login - dashboard - vendors - vendors - + add vendors - add vendor</t>
  </si>
  <si>
    <t>login - login - dashboard - vendors - vendors - edit - edit vendor</t>
  </si>
  <si>
    <t>login - login - dashboard - vendors - vendors - delete - delete vendor success</t>
  </si>
  <si>
    <t>login - login - dashboard - vendors - vendors - buy - confirm buy</t>
  </si>
  <si>
    <t>login - login - dashboard - vendors - vendors - go - vendors search results - back - vendors</t>
  </si>
  <si>
    <t>login - login - dashboard - vendors - vendors - + add vendors - add vendor - submit - add vendor success</t>
  </si>
  <si>
    <t>login - login - dashboard - vendors - vendors - edit - edit vendor - submit - edit vendor success</t>
  </si>
  <si>
    <t>login - login - dashboard - vendors - vendors - buy - confirm buy - buy - buy success</t>
  </si>
  <si>
    <t>login - login - dashboard - customer - customers - go - customers search results</t>
  </si>
  <si>
    <t>login - login - dashboard - customer - customers - + add customer - add customer</t>
  </si>
  <si>
    <t>login - login - dashboard - customer - customers - edit - edit customer</t>
  </si>
  <si>
    <t>login - login - dashboard - customer - customers - delete - delete customer success</t>
  </si>
  <si>
    <t>login - login - dashboard - customer - customers - sell - sell product</t>
  </si>
  <si>
    <t>login - login - dashboard - customer - customers - go - customers search results - back - customers</t>
  </si>
  <si>
    <t>login - login - dashboard - customer - customers - + add customer - add customer - submit - add customer success</t>
  </si>
  <si>
    <t>login - login - dashboard - customer - customers - edit - edit customer - submit - edit customer success</t>
  </si>
  <si>
    <t>login - login - dashboard - customer - customers - sell - sell product - submit - sell success</t>
  </si>
  <si>
    <t>login - login - dashboard - products - products - go - products search results</t>
  </si>
  <si>
    <t>login - login - dashboard - products - products - + add product - add product</t>
  </si>
  <si>
    <t>login - login - dashboard - products - products - edit - edit product</t>
  </si>
  <si>
    <t>login - login - dashboard - products - products - go - products search results - back - products</t>
  </si>
  <si>
    <t>login - login - dashboard - products - products - + add product - add product - submit - add product success</t>
  </si>
  <si>
    <t>login - login - dashboard - products - products - edit - edit product - submit - edit product success</t>
  </si>
  <si>
    <t>login - login - dashboard - orders - orders - paid - update paidstatus</t>
  </si>
  <si>
    <t>login - login - dashboard - orders - orders - delete - delete order success</t>
  </si>
  <si>
    <t>login - login - dashboard - orders - orders - b i l l - view bill</t>
  </si>
  <si>
    <t>MEAN</t>
  </si>
  <si>
    <t>LOWER</t>
  </si>
  <si>
    <t>Moverscore</t>
  </si>
  <si>
    <t>Strong similarity</t>
  </si>
  <si>
    <t>BERTScore (F1) — Interpretation Scale</t>
  </si>
  <si>
    <t>0.75 – 1.00</t>
  </si>
  <si>
    <t>0.90 – 1.00</t>
  </si>
  <si>
    <t>Nearly identical action sequences</t>
  </si>
  <si>
    <t>Nearly identical meaning</t>
  </si>
  <si>
    <t>Same UI flow, same operations</t>
  </si>
  <si>
    <t>Actions likely equivalent step-by-step</t>
  </si>
  <si>
    <t>Minor wording differences only</t>
  </si>
  <si>
    <t>Moderate similarity</t>
  </si>
  <si>
    <t>0.60 – 0.75</t>
  </si>
  <si>
    <t>Same task, slightly different steps</t>
  </si>
  <si>
    <t>0.80 – 0.90</t>
  </si>
  <si>
    <t>Some reordered or missing actions</t>
  </si>
  <si>
    <t>Same intent / same test flow</t>
  </si>
  <si>
    <t>Some steps differ or are reordered</t>
  </si>
  <si>
    <t>Missing or extra small actions</t>
  </si>
  <si>
    <t>MAX</t>
  </si>
  <si>
    <t>RANGE+</t>
  </si>
  <si>
    <t>RANGE-</t>
  </si>
  <si>
    <t>home - research - research</t>
  </si>
  <si>
    <t>home - tools - tools</t>
  </si>
  <si>
    <t>home - publications - publications</t>
  </si>
  <si>
    <t>home - teaching - teaching</t>
  </si>
  <si>
    <t>home - send - home</t>
  </si>
  <si>
    <t>home - research - research - home - home</t>
  </si>
  <si>
    <t>home - tools - tools - home - home</t>
  </si>
  <si>
    <t>home - publications - publications - home - home</t>
  </si>
  <si>
    <t>home - publications - publications - on the soundness and consistency of l l m agents for executing test cases written in natural language - publications n l exec</t>
  </si>
  <si>
    <t>home - teaching - teaching - home - home</t>
  </si>
  <si>
    <t>home - teaching - teaching - cours software engineering - teaching s e</t>
  </si>
  <si>
    <t>start - agree &amp; start - home anon</t>
  </si>
  <si>
    <t>start - agree &amp; start - home anon - sign up - sign up - create account - account created</t>
  </si>
  <si>
    <t>start - agree &amp; start - home anon - sign up - sign up - home - home anon</t>
  </si>
  <si>
    <t>start - agree &amp; start - home anon - sign up - sign up - create account - account created - home - home auth</t>
  </si>
  <si>
    <t>start - agree &amp; start - home anon - sign up - sign up - create account - account created - home - home auth - sign out - home anon</t>
  </si>
  <si>
    <t>start - agree &amp; start - home anon - sign up - sign up - create account - account created - home - home auth - new snippet - new snippet</t>
  </si>
  <si>
    <t>start - agree &amp; start - home anon - sign up - sign up - create account - account created - home - home auth - my snippets - my snippets empty</t>
  </si>
  <si>
    <t>start - agree &amp; start - home anon - sign up - sign up - create account - account created - home - home auth - profile - profile</t>
  </si>
  <si>
    <t>start - agree &amp; start - home anon - sign up - sign up - create account - account created - home - home auth - new snippet - new snippet - submit - my snippets added</t>
  </si>
  <si>
    <t>start - agree &amp; start - home anon - sign up - sign up - create account - account created - home - home auth - my snippets - my snippets empty - home - home auth</t>
  </si>
  <si>
    <t>start - agree &amp; start - home anon - sign up - sign up - create account - account created - home - home auth - profile - profile - update - home auth</t>
  </si>
  <si>
    <t>all</t>
  </si>
  <si>
    <t>quartile</t>
  </si>
  <si>
    <t>median</t>
  </si>
  <si>
    <t>Q1</t>
  </si>
  <si>
    <t>Q3</t>
  </si>
  <si>
    <t>IQR</t>
  </si>
  <si>
    <t>home anonymous - my account - home anonymous drop down - login - login page</t>
  </si>
  <si>
    <t>home anonymous - my account - home anonymous drop down - register - register account</t>
  </si>
  <si>
    <t>home anonymous - my account - home anonymous drop down - login - login page - continue - register account</t>
  </si>
  <si>
    <t>home anonymous - my account - home anonymous drop down - login - login page - login - my account</t>
  </si>
  <si>
    <t>home anonymous - my account - home anonymous drop down - register - register account - login page - login page</t>
  </si>
  <si>
    <t>home anonymous - my account - home anonymous drop down - register - register account - continue - account created</t>
  </si>
  <si>
    <t>home anonymous - my account - home anonymous drop down - register - register account - continue - account created - continue - my account</t>
  </si>
  <si>
    <t>home anonymous - my account - home anonymous drop down</t>
  </si>
  <si>
    <t>home anonymous - search - search results anon</t>
  </si>
  <si>
    <t>home anonymous - shopping cart - shopping cart empty</t>
  </si>
  <si>
    <t>home anonymous - 123456789 - contact us anon</t>
  </si>
  <si>
    <t>home anonymous - search - search results anon - i mac - product detail anon</t>
  </si>
  <si>
    <t>home anonymous - search - search results anon - home - home anonymous</t>
  </si>
  <si>
    <t>home anonymous - shopping cart - shopping cart empty - continue - home anonymous</t>
  </si>
  <si>
    <t>home anonymous - 123456789 - contact us anon - submit - contact submitted anon</t>
  </si>
  <si>
    <t>home anonymous - 123456789 - contact us anon - submit - contact submitted anon - continue - home anonymous</t>
  </si>
  <si>
    <t>home anonymous - my account - home anonymous drop down - login - login page - login - my account - home - home authenticated</t>
  </si>
  <si>
    <t>home anonymous - my account - home anonymous drop down - login - login page - login - my account - reward points - reward points</t>
  </si>
  <si>
    <t>home anonymous - my account - home anonymous drop down - login - login page - login - my account - wish list - wishlist empty</t>
  </si>
  <si>
    <t>home anonymous - my account - home anonymous drop down - login - login page - login - my account - logout - home anonymous</t>
  </si>
  <si>
    <t>home anonymous - my account - home anonymous drop down - login - login page - login - my account - reward points - reward points - continue - my account</t>
  </si>
  <si>
    <t>home anonymous - my account - home anonymous drop down - login - login page - login - my account - home - home authenticated - desktops - home authenticated desktop</t>
  </si>
  <si>
    <t>home anonymous - my account - home anonymous drop down - login - login page - login - my account - home - home authenticated - search - search results auth</t>
  </si>
  <si>
    <t>home anonymous - my account - home anonymous drop down - login - login page - login - my account - home - home authenticated - 123456789 - contact us auth</t>
  </si>
  <si>
    <t>home anonymous - my account - home anonymous drop down - login - login page - login - my account - home - home authenticated - desktops - home authenticated desktop - mac (1) - category mac auth</t>
  </si>
  <si>
    <t>home anonymous - my account - home anonymous drop down - login - login page - login - my account - home - home authenticated - desktops - home authenticated desktop - mac (1) - category mac auth - i mac - product detail auth</t>
  </si>
  <si>
    <t>home anonymous - my account - home anonymous drop down - login - login page - login - my account - home - home authenticated - search - search results auth - i mac - product detail auth</t>
  </si>
  <si>
    <t>home anonymous - my account - home anonymous drop down - login - login page - login - my account - home - home authenticated - search - search results auth - home - home authenticated</t>
  </si>
  <si>
    <t>home anonymous - my account - home anonymous drop down - login - login page - login - my account - home - home authenticated - search - search results auth - i mac - product detail auth - add to cart - product detail auth cart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</si>
  <si>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</t>
  </si>
  <si>
    <t>home anonymous - my account - home anonymous drop down - login - login page - login - my account - wish list - wishlist empty - continue - my account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</si>
  <si>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</si>
  <si>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continue shopping - home authenticated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</si>
  <si>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</si>
  <si>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</si>
  <si>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 - continue - checkout auth shippement method selected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</si>
  <si>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 - continue - checkout auth shippement method selected - choose - checkout auth payment options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</si>
  <si>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 - continue - checkout auth shippement method selected - choose - checkout auth payment options - continue - checkout auth final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</si>
  <si>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 - continue - checkout auth shippement method selected - choose - checkout auth payment options - continue - checkout auth final - confirm order - order success auth</t>
  </si>
  <si>
    <t>home anonymous - my account - home anonymous drop down - login - login page - login - my account - home - home authenticated - search - search results auth - i mac - product detail auth - add to cart - product detail auth cart - shopping cart - shopping cart auth - checkout - checkout auth - continue - checkout auth shipping - choose - checkout auth shipping options - continue - checkout auth shippement method selected - choose - checkout auth payment options - continue - checkout auth final - confirm order - order success auth - continue - home authenticated</t>
  </si>
  <si>
    <t>home anonymous - my account - home anonymous drop down - login - login page - login - my account - home - home authenticated - 123456789 - contact us auth - submit - contact submitted auth</t>
  </si>
  <si>
    <t>home anonymous - my account - home anonymous drop down - login - login page - login - my account - home - home authenticated - 123456789 - contact us auth - submit - contact submitted auth - continue - home authenticated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</si>
</sst>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1-22C1-2B49-B199-BE1D068D75C9}" formatIdx="1">
          <cx:tx>
            <cx:txData>
              <cx:f>_xlchart.v1.0</cx:f>
              <cx:v>bert_score_f1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2-22C1-2B49-B199-BE1D068D75C9}" formatIdx="2">
          <cx:tx>
            <cx:txData>
              <cx:f>_xlchart.v1.2</cx:f>
              <cx:v>moverscore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  <cx:data id="1">
      <cx:strDim type="cat">
        <cx:f>_xlchart.v1.5</cx:f>
      </cx:strDim>
      <cx:numDim type="val">
        <cx:f>_xlchart.v1.8</cx:f>
      </cx:numDim>
    </cx:data>
  </cx:chartData>
  <cx:chart>
    <cx:title pos="t" align="ctr" overlay="0"/>
    <cx:plotArea>
      <cx:plotAreaRegion>
        <cx:series layoutId="boxWhisker" uniqueId="{00000000-DB65-054C-9477-74CAFEC7E78F}">
          <cx:tx>
            <cx:txData>
              <cx:f>_xlchart.v1.4</cx:f>
              <cx:v>bert_score_f1</cx:v>
            </cx:txData>
          </cx:tx>
          <cx:dataPt idx="60"/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B65-054C-9477-74CAFEC7E78F}">
          <cx:tx>
            <cx:txData>
              <cx:f>_xlchart.v1.7</cx:f>
              <cx:v>moverscore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/>
    <cx:plotArea>
      <cx:plotAreaRegion>
        <cx:series layoutId="boxWhisker" uniqueId="{00000000-AF98-9642-BB99-330F0834EA79}">
          <cx:tx>
            <cx:txData>
              <cx:f>_xlchart.v1.9</cx:f>
              <cx:v>bert_score_f1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1-AF98-9642-BB99-330F0834EA79}">
          <cx:tx>
            <cx:txData>
              <cx:f>_xlchart.v1.11</cx:f>
              <cx:v>moverscore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_xlchart.v1.16</cx:f>
      </cx:numDim>
    </cx:data>
  </cx:chartData>
  <cx:chart>
    <cx:title pos="t" align="ctr" overlay="0"/>
    <cx:plotArea>
      <cx:plotAreaRegion>
        <cx:series layoutId="boxWhisker" uniqueId="{00000000-30A8-E041-92B2-A9CF1C17D170}">
          <cx:tx>
            <cx:txData>
              <cx:f>_xlchart.v1.13</cx:f>
              <cx:v>bert_score_f1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1-30A8-E041-92B2-A9CF1C17D170}">
          <cx:tx>
            <cx:txData>
              <cx:f>_xlchart.v1.15</cx:f>
              <cx:v>moverscore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_xlchart.v1.20</cx:f>
      </cx:numDim>
    </cx:data>
  </cx:chartData>
  <cx:chart>
    <cx:title pos="t" align="ctr" overlay="0"/>
    <cx:plotArea>
      <cx:plotAreaRegion>
        <cx:series layoutId="boxWhisker" uniqueId="{00000000-159B-BC4C-BF07-E8BA9D74832C}">
          <cx:tx>
            <cx:txData>
              <cx:f>_xlchart.v1.17</cx:f>
              <cx:v>bert_score_f1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00000001-159B-BC4C-BF07-E8BA9D74832C}">
          <cx:tx>
            <cx:txData>
              <cx:f>_xlchart.v1.19</cx:f>
              <cx:v>moverscore</cx:v>
            </cx:txData>
          </cx:tx>
          <cx:dataId val="1"/>
          <cx:layoutPr>
            <cx:visibility meanLine="1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0.5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4</xdr:row>
      <xdr:rowOff>165100</xdr:rowOff>
    </xdr:from>
    <xdr:to>
      <xdr:col>11</xdr:col>
      <xdr:colOff>50800</xdr:colOff>
      <xdr:row>18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528224DC-4CAC-E146-0ECB-772AA271D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9300" y="97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40</xdr:row>
      <xdr:rowOff>165100</xdr:rowOff>
    </xdr:from>
    <xdr:to>
      <xdr:col>13</xdr:col>
      <xdr:colOff>311150</xdr:colOff>
      <xdr:row>54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DA240DD5-DA8B-5877-416E-39FE1CE547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0650" y="8293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4</xdr:row>
      <xdr:rowOff>165100</xdr:rowOff>
    </xdr:from>
    <xdr:to>
      <xdr:col>11</xdr:col>
      <xdr:colOff>50800</xdr:colOff>
      <xdr:row>18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6FFC0862-98B1-01EA-CAA9-E4E6821B6F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9300" y="97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4</xdr:row>
      <xdr:rowOff>165100</xdr:rowOff>
    </xdr:from>
    <xdr:to>
      <xdr:col>11</xdr:col>
      <xdr:colOff>50800</xdr:colOff>
      <xdr:row>18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27A28A2B-A2B4-C51F-73A7-45F0079394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9300" y="97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26</xdr:row>
      <xdr:rowOff>165100</xdr:rowOff>
    </xdr:from>
    <xdr:to>
      <xdr:col>13</xdr:col>
      <xdr:colOff>311150</xdr:colOff>
      <xdr:row>40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592022D4-9030-85B7-01F5-539C489D70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0650" y="5448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735D-76F1-4D44-86DE-A1FDFE3D6AB6}">
  <dimension ref="A1:E61"/>
  <sheetViews>
    <sheetView tabSelected="1" workbookViewId="0">
      <selection activeCell="M8" sqref="M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 t="s">
        <v>5</v>
      </c>
      <c r="C2">
        <v>25</v>
      </c>
      <c r="D2">
        <v>0.91782313599999998</v>
      </c>
      <c r="E2">
        <v>0.81677148399999999</v>
      </c>
    </row>
    <row r="3" spans="1:5" x14ac:dyDescent="0.2">
      <c r="A3">
        <v>1</v>
      </c>
      <c r="B3" t="s">
        <v>6</v>
      </c>
      <c r="C3">
        <v>25</v>
      </c>
      <c r="D3">
        <v>0.90807426000000002</v>
      </c>
      <c r="E3">
        <v>0.81060584499999999</v>
      </c>
    </row>
    <row r="4" spans="1:5" x14ac:dyDescent="0.2">
      <c r="A4">
        <v>2</v>
      </c>
      <c r="B4" t="s">
        <v>7</v>
      </c>
      <c r="C4">
        <v>24</v>
      </c>
      <c r="D4">
        <v>0.91516613999999996</v>
      </c>
      <c r="E4">
        <v>0.83510454000000001</v>
      </c>
    </row>
    <row r="5" spans="1:5" x14ac:dyDescent="0.2">
      <c r="A5">
        <v>3</v>
      </c>
      <c r="B5" t="s">
        <v>8</v>
      </c>
      <c r="C5">
        <v>25</v>
      </c>
      <c r="D5">
        <v>0.90984493499999997</v>
      </c>
      <c r="E5">
        <v>0.80627963999999996</v>
      </c>
    </row>
    <row r="6" spans="1:5" x14ac:dyDescent="0.2">
      <c r="A6">
        <v>4</v>
      </c>
      <c r="B6" t="s">
        <v>9</v>
      </c>
      <c r="C6">
        <v>18</v>
      </c>
      <c r="D6">
        <v>0.92505431199999999</v>
      </c>
      <c r="E6">
        <v>0.78870353299999996</v>
      </c>
    </row>
    <row r="7" spans="1:5" x14ac:dyDescent="0.2">
      <c r="A7">
        <v>5</v>
      </c>
      <c r="B7" t="s">
        <v>10</v>
      </c>
      <c r="C7">
        <v>17</v>
      </c>
      <c r="D7">
        <v>0.90587711299999996</v>
      </c>
      <c r="E7">
        <v>0.806254633</v>
      </c>
    </row>
    <row r="8" spans="1:5" x14ac:dyDescent="0.2">
      <c r="A8">
        <v>6</v>
      </c>
      <c r="B8" t="s">
        <v>11</v>
      </c>
      <c r="C8">
        <v>19</v>
      </c>
      <c r="D8">
        <v>0.90650498899999998</v>
      </c>
      <c r="E8">
        <v>0.872234289</v>
      </c>
    </row>
    <row r="9" spans="1:5" x14ac:dyDescent="0.2">
      <c r="A9">
        <v>7</v>
      </c>
      <c r="B9" t="s">
        <v>12</v>
      </c>
      <c r="C9">
        <v>19</v>
      </c>
      <c r="D9">
        <v>0.90650445199999996</v>
      </c>
      <c r="E9">
        <v>0.849032711</v>
      </c>
    </row>
    <row r="10" spans="1:5" x14ac:dyDescent="0.2">
      <c r="A10">
        <v>8</v>
      </c>
      <c r="B10" t="s">
        <v>13</v>
      </c>
      <c r="C10">
        <v>17</v>
      </c>
      <c r="D10">
        <v>0.90571385599999998</v>
      </c>
      <c r="E10">
        <v>0.82247431400000004</v>
      </c>
    </row>
    <row r="11" spans="1:5" x14ac:dyDescent="0.2">
      <c r="A11">
        <v>9</v>
      </c>
      <c r="B11" t="s">
        <v>14</v>
      </c>
      <c r="C11">
        <v>25</v>
      </c>
      <c r="D11">
        <v>0.91082721899999997</v>
      </c>
      <c r="E11">
        <v>0.80864275200000002</v>
      </c>
    </row>
    <row r="12" spans="1:5" x14ac:dyDescent="0.2">
      <c r="A12">
        <v>10</v>
      </c>
      <c r="B12" t="s">
        <v>15</v>
      </c>
      <c r="C12">
        <v>17</v>
      </c>
      <c r="D12">
        <v>0.90070265500000002</v>
      </c>
      <c r="E12">
        <v>0.80896620399999997</v>
      </c>
    </row>
    <row r="13" spans="1:5" x14ac:dyDescent="0.2">
      <c r="A13">
        <v>11</v>
      </c>
      <c r="B13" t="s">
        <v>16</v>
      </c>
      <c r="C13">
        <v>19</v>
      </c>
      <c r="D13">
        <v>0.90558433500000002</v>
      </c>
      <c r="E13">
        <v>0.86266231199999999</v>
      </c>
    </row>
    <row r="14" spans="1:5" x14ac:dyDescent="0.2">
      <c r="A14">
        <v>12</v>
      </c>
      <c r="B14" t="s">
        <v>17</v>
      </c>
      <c r="C14">
        <v>19</v>
      </c>
      <c r="D14">
        <v>0.90039116100000005</v>
      </c>
      <c r="E14">
        <v>0.84636521499999995</v>
      </c>
    </row>
    <row r="15" spans="1:5" x14ac:dyDescent="0.2">
      <c r="A15">
        <v>13</v>
      </c>
      <c r="B15" t="s">
        <v>18</v>
      </c>
      <c r="C15">
        <v>17</v>
      </c>
      <c r="D15">
        <v>0.902284741</v>
      </c>
      <c r="E15">
        <v>0.80308965700000001</v>
      </c>
    </row>
    <row r="16" spans="1:5" x14ac:dyDescent="0.2">
      <c r="A16">
        <v>14</v>
      </c>
      <c r="B16" t="s">
        <v>19</v>
      </c>
      <c r="C16">
        <v>25</v>
      </c>
      <c r="D16">
        <v>0.90808731300000001</v>
      </c>
      <c r="E16">
        <v>0.84478864499999995</v>
      </c>
    </row>
    <row r="17" spans="1:5" x14ac:dyDescent="0.2">
      <c r="A17">
        <v>15</v>
      </c>
      <c r="B17" t="s">
        <v>20</v>
      </c>
      <c r="C17">
        <v>21</v>
      </c>
      <c r="D17">
        <v>0.90454649899999995</v>
      </c>
      <c r="E17">
        <v>0.82408597500000003</v>
      </c>
    </row>
    <row r="18" spans="1:5" x14ac:dyDescent="0.2">
      <c r="A18">
        <v>16</v>
      </c>
      <c r="B18" t="s">
        <v>21</v>
      </c>
      <c r="C18">
        <v>25</v>
      </c>
      <c r="D18">
        <v>0.90179783099999999</v>
      </c>
      <c r="E18">
        <v>0.836150489</v>
      </c>
    </row>
    <row r="19" spans="1:5" x14ac:dyDescent="0.2">
      <c r="A19">
        <v>17</v>
      </c>
      <c r="B19" t="s">
        <v>22</v>
      </c>
      <c r="C19">
        <v>25</v>
      </c>
      <c r="D19">
        <v>0.91861778500000002</v>
      </c>
      <c r="E19">
        <v>0.81603934499999997</v>
      </c>
    </row>
    <row r="20" spans="1:5" x14ac:dyDescent="0.2">
      <c r="A20">
        <v>18</v>
      </c>
      <c r="B20" t="s">
        <v>23</v>
      </c>
      <c r="C20">
        <v>17</v>
      </c>
      <c r="D20">
        <v>0.89872926500000005</v>
      </c>
      <c r="E20">
        <v>0.82054648799999996</v>
      </c>
    </row>
    <row r="21" spans="1:5" x14ac:dyDescent="0.2">
      <c r="A21">
        <v>19</v>
      </c>
      <c r="B21" t="s">
        <v>24</v>
      </c>
      <c r="C21">
        <v>17</v>
      </c>
      <c r="D21">
        <v>0.89690113100000002</v>
      </c>
      <c r="E21">
        <v>0.81092177899999995</v>
      </c>
    </row>
    <row r="22" spans="1:5" x14ac:dyDescent="0.2">
      <c r="A22">
        <v>20</v>
      </c>
      <c r="B22" t="s">
        <v>25</v>
      </c>
      <c r="C22">
        <v>21</v>
      </c>
      <c r="D22">
        <v>0.89791333699999998</v>
      </c>
      <c r="E22">
        <v>0.82632269000000003</v>
      </c>
    </row>
    <row r="23" spans="1:5" x14ac:dyDescent="0.2">
      <c r="A23">
        <v>21</v>
      </c>
      <c r="B23" t="s">
        <v>26</v>
      </c>
      <c r="C23">
        <v>19</v>
      </c>
      <c r="D23">
        <v>0.89404505499999998</v>
      </c>
      <c r="E23">
        <v>0.829773812</v>
      </c>
    </row>
    <row r="24" spans="1:5" x14ac:dyDescent="0.2">
      <c r="A24">
        <v>22</v>
      </c>
      <c r="B24" t="s">
        <v>27</v>
      </c>
      <c r="C24">
        <v>19</v>
      </c>
      <c r="D24">
        <v>0.90346032399999998</v>
      </c>
      <c r="E24">
        <v>0.838756532</v>
      </c>
    </row>
    <row r="25" spans="1:5" x14ac:dyDescent="0.2">
      <c r="A25">
        <v>23</v>
      </c>
      <c r="B25" t="s">
        <v>28</v>
      </c>
      <c r="C25">
        <v>17</v>
      </c>
      <c r="D25">
        <v>0.90666985499999997</v>
      </c>
      <c r="E25">
        <v>0.79029157400000005</v>
      </c>
    </row>
    <row r="26" spans="1:5" x14ac:dyDescent="0.2">
      <c r="A26">
        <v>24</v>
      </c>
      <c r="B26" t="s">
        <v>29</v>
      </c>
      <c r="C26">
        <v>19</v>
      </c>
      <c r="D26">
        <v>0.89817667000000001</v>
      </c>
      <c r="E26">
        <v>0.84042242599999994</v>
      </c>
    </row>
    <row r="27" spans="1:5" x14ac:dyDescent="0.2">
      <c r="A27">
        <v>25</v>
      </c>
      <c r="B27" t="s">
        <v>30</v>
      </c>
      <c r="C27">
        <v>19</v>
      </c>
      <c r="D27">
        <v>0.89746248699999998</v>
      </c>
      <c r="E27">
        <v>0.83552326899999996</v>
      </c>
    </row>
    <row r="28" spans="1:5" x14ac:dyDescent="0.2">
      <c r="A28">
        <v>26</v>
      </c>
      <c r="B28" t="s">
        <v>31</v>
      </c>
      <c r="C28">
        <v>17</v>
      </c>
      <c r="D28">
        <v>0.901002109</v>
      </c>
      <c r="E28">
        <v>0.80838226499999999</v>
      </c>
    </row>
    <row r="29" spans="1:5" x14ac:dyDescent="0.2">
      <c r="A29">
        <v>27</v>
      </c>
      <c r="B29" t="s">
        <v>32</v>
      </c>
      <c r="C29">
        <v>19</v>
      </c>
      <c r="D29">
        <v>0.89171677800000004</v>
      </c>
      <c r="E29">
        <v>0.83514405899999999</v>
      </c>
    </row>
    <row r="30" spans="1:5" x14ac:dyDescent="0.2">
      <c r="A30">
        <v>28</v>
      </c>
      <c r="B30" t="s">
        <v>33</v>
      </c>
      <c r="C30">
        <v>19</v>
      </c>
      <c r="D30">
        <v>0.89110237400000003</v>
      </c>
      <c r="E30">
        <v>0.83204964400000003</v>
      </c>
    </row>
    <row r="31" spans="1:5" x14ac:dyDescent="0.2">
      <c r="A31">
        <v>29</v>
      </c>
      <c r="B31" t="s">
        <v>34</v>
      </c>
      <c r="C31">
        <v>17</v>
      </c>
      <c r="D31">
        <v>0.90108871499999998</v>
      </c>
      <c r="E31">
        <v>0.81099920000000003</v>
      </c>
    </row>
    <row r="32" spans="1:5" x14ac:dyDescent="0.2">
      <c r="A32">
        <v>30</v>
      </c>
      <c r="B32" t="s">
        <v>35</v>
      </c>
      <c r="C32">
        <v>17</v>
      </c>
      <c r="D32">
        <v>0.90896809099999998</v>
      </c>
      <c r="E32">
        <v>0.80778238700000005</v>
      </c>
    </row>
    <row r="33" spans="1:5" x14ac:dyDescent="0.2">
      <c r="A33">
        <v>31</v>
      </c>
      <c r="B33" t="s">
        <v>36</v>
      </c>
      <c r="C33">
        <v>25</v>
      </c>
      <c r="D33">
        <v>0.90575540099999996</v>
      </c>
      <c r="E33">
        <v>0.79467748100000002</v>
      </c>
    </row>
    <row r="34" spans="1:5" x14ac:dyDescent="0.2">
      <c r="A34">
        <v>32</v>
      </c>
      <c r="B34" t="s">
        <v>16</v>
      </c>
      <c r="C34">
        <v>19</v>
      </c>
      <c r="D34">
        <v>0.90558433500000002</v>
      </c>
      <c r="E34">
        <v>0.86266231199999999</v>
      </c>
    </row>
    <row r="35" spans="1:5" x14ac:dyDescent="0.2">
      <c r="A35" t="s">
        <v>37</v>
      </c>
      <c r="D35">
        <v>0.90460541400000005</v>
      </c>
      <c r="E35">
        <v>0.82431840899999997</v>
      </c>
    </row>
    <row r="36" spans="1:5" x14ac:dyDescent="0.2">
      <c r="A36" t="s">
        <v>38</v>
      </c>
      <c r="D36">
        <f>MIN(D2:D34)</f>
        <v>0.89110237400000003</v>
      </c>
      <c r="E36">
        <f>MIN(E2:E34)</f>
        <v>0.78870353299999996</v>
      </c>
    </row>
    <row r="37" spans="1:5" x14ac:dyDescent="0.2">
      <c r="A37" t="s">
        <v>57</v>
      </c>
      <c r="D37">
        <f>MAX(D2:D34)</f>
        <v>0.92505431199999999</v>
      </c>
      <c r="E37">
        <f>MAX(E2:E34)</f>
        <v>0.872234289</v>
      </c>
    </row>
    <row r="38" spans="1:5" x14ac:dyDescent="0.2">
      <c r="A38" t="s">
        <v>59</v>
      </c>
      <c r="D38">
        <f>D35-D36</f>
        <v>1.3503040000000022E-2</v>
      </c>
      <c r="E38">
        <f>E35-E36</f>
        <v>3.5614876000000018E-2</v>
      </c>
    </row>
    <row r="39" spans="1:5" x14ac:dyDescent="0.2">
      <c r="A39" t="s">
        <v>58</v>
      </c>
      <c r="D39">
        <f>D37-D35</f>
        <v>2.0448897999999938E-2</v>
      </c>
      <c r="E39">
        <f>E37-E35</f>
        <v>4.7915880000000022E-2</v>
      </c>
    </row>
    <row r="40" spans="1:5" x14ac:dyDescent="0.2">
      <c r="A40" t="s">
        <v>84</v>
      </c>
      <c r="D40">
        <v>0</v>
      </c>
      <c r="E40">
        <f>MEDIAN(E2:E34)</f>
        <v>0.82247431400000004</v>
      </c>
    </row>
    <row r="41" spans="1:5" x14ac:dyDescent="0.2">
      <c r="A41" t="s">
        <v>85</v>
      </c>
      <c r="D41">
        <f>QUARTILE(D2:D34,1)</f>
        <v>0.90039116100000005</v>
      </c>
      <c r="E41">
        <f>QUARTILE(E2:E34,1)</f>
        <v>0.80864275200000002</v>
      </c>
    </row>
    <row r="42" spans="1:5" x14ac:dyDescent="0.2">
      <c r="A42" t="s">
        <v>86</v>
      </c>
      <c r="D42">
        <f>QUARTILE(D2:D34,3)</f>
        <v>0.90807426000000002</v>
      </c>
      <c r="E42">
        <f>QUARTILE(E2:E34,3)</f>
        <v>0.836150489</v>
      </c>
    </row>
    <row r="43" spans="1:5" x14ac:dyDescent="0.2">
      <c r="A43" t="s">
        <v>87</v>
      </c>
      <c r="D43">
        <f>D42-D41</f>
        <v>7.683098999999971E-3</v>
      </c>
      <c r="E43">
        <f>E42-E41</f>
        <v>2.7507736999999977E-2</v>
      </c>
    </row>
    <row r="45" spans="1:5" x14ac:dyDescent="0.2">
      <c r="A45">
        <v>28</v>
      </c>
      <c r="B45" t="s">
        <v>33</v>
      </c>
      <c r="C45">
        <v>19</v>
      </c>
      <c r="D45">
        <v>0.89110237000000003</v>
      </c>
    </row>
    <row r="46" spans="1:5" x14ac:dyDescent="0.2">
      <c r="A46">
        <v>4</v>
      </c>
      <c r="B46" t="s">
        <v>9</v>
      </c>
      <c r="C46">
        <v>18</v>
      </c>
      <c r="E46">
        <v>0.78870353299999996</v>
      </c>
    </row>
    <row r="47" spans="1:5" x14ac:dyDescent="0.2">
      <c r="A47" t="s">
        <v>39</v>
      </c>
      <c r="E47" t="s">
        <v>41</v>
      </c>
    </row>
    <row r="49" spans="2:5" x14ac:dyDescent="0.2">
      <c r="B49" t="s">
        <v>40</v>
      </c>
      <c r="E49" t="s">
        <v>40</v>
      </c>
    </row>
    <row r="51" spans="2:5" x14ac:dyDescent="0.2">
      <c r="B51" t="s">
        <v>42</v>
      </c>
      <c r="E51" t="s">
        <v>43</v>
      </c>
    </row>
    <row r="52" spans="2:5" x14ac:dyDescent="0.2">
      <c r="B52" t="s">
        <v>44</v>
      </c>
      <c r="E52" t="s">
        <v>45</v>
      </c>
    </row>
    <row r="53" spans="2:5" x14ac:dyDescent="0.2">
      <c r="B53" t="s">
        <v>46</v>
      </c>
      <c r="E53" t="s">
        <v>47</v>
      </c>
    </row>
    <row r="54" spans="2:5" x14ac:dyDescent="0.2">
      <c r="E54" t="s">
        <v>48</v>
      </c>
    </row>
    <row r="55" spans="2:5" x14ac:dyDescent="0.2">
      <c r="B55" t="s">
        <v>49</v>
      </c>
    </row>
    <row r="56" spans="2:5" x14ac:dyDescent="0.2">
      <c r="E56" t="s">
        <v>49</v>
      </c>
    </row>
    <row r="57" spans="2:5" x14ac:dyDescent="0.2">
      <c r="B57" t="s">
        <v>50</v>
      </c>
    </row>
    <row r="58" spans="2:5" x14ac:dyDescent="0.2">
      <c r="B58" t="s">
        <v>51</v>
      </c>
      <c r="E58" t="s">
        <v>52</v>
      </c>
    </row>
    <row r="59" spans="2:5" x14ac:dyDescent="0.2">
      <c r="B59" t="s">
        <v>53</v>
      </c>
      <c r="E59" t="s">
        <v>54</v>
      </c>
    </row>
    <row r="60" spans="2:5" x14ac:dyDescent="0.2">
      <c r="E60" t="s">
        <v>55</v>
      </c>
    </row>
    <row r="61" spans="2:5" x14ac:dyDescent="0.2">
      <c r="E61" t="s">
        <v>56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0168-9430-AB46-B7F9-7741D2A6860B}">
  <dimension ref="A1:D64"/>
  <sheetViews>
    <sheetView topLeftCell="A52" zoomScale="125" workbookViewId="0">
      <selection activeCell="C60" sqref="C60"/>
    </sheetView>
  </sheetViews>
  <sheetFormatPr baseColWidth="10" defaultRowHeight="16" x14ac:dyDescent="0.2"/>
  <sheetData>
    <row r="1" spans="1:4" x14ac:dyDescent="0.2">
      <c r="A1" t="s">
        <v>82</v>
      </c>
    </row>
    <row r="2" spans="1:4" x14ac:dyDescent="0.2">
      <c r="A2" t="s">
        <v>0</v>
      </c>
      <c r="B2" t="s">
        <v>1</v>
      </c>
      <c r="C2" t="s">
        <v>3</v>
      </c>
      <c r="D2" t="s">
        <v>4</v>
      </c>
    </row>
    <row r="3" spans="1:4" x14ac:dyDescent="0.2">
      <c r="A3">
        <v>0</v>
      </c>
      <c r="B3" t="s">
        <v>5</v>
      </c>
      <c r="C3">
        <v>0.91782313599999998</v>
      </c>
      <c r="D3">
        <v>0.81677148399999999</v>
      </c>
    </row>
    <row r="4" spans="1:4" x14ac:dyDescent="0.2">
      <c r="A4">
        <v>1</v>
      </c>
      <c r="B4" t="s">
        <v>6</v>
      </c>
      <c r="C4">
        <v>0.90807426000000002</v>
      </c>
      <c r="D4">
        <v>0.81060584499999999</v>
      </c>
    </row>
    <row r="5" spans="1:4" x14ac:dyDescent="0.2">
      <c r="A5">
        <v>2</v>
      </c>
      <c r="B5" t="s">
        <v>7</v>
      </c>
      <c r="C5">
        <v>0.91516613999999996</v>
      </c>
      <c r="D5">
        <v>0.83510454000000001</v>
      </c>
    </row>
    <row r="6" spans="1:4" x14ac:dyDescent="0.2">
      <c r="A6">
        <v>3</v>
      </c>
      <c r="B6" t="s">
        <v>8</v>
      </c>
      <c r="C6">
        <v>0.90984493499999997</v>
      </c>
      <c r="D6">
        <v>0.80627963999999996</v>
      </c>
    </row>
    <row r="7" spans="1:4" x14ac:dyDescent="0.2">
      <c r="A7">
        <v>4</v>
      </c>
      <c r="B7" t="s">
        <v>9</v>
      </c>
      <c r="C7">
        <v>0.92505431199999999</v>
      </c>
      <c r="D7">
        <v>0.78870353299999996</v>
      </c>
    </row>
    <row r="8" spans="1:4" x14ac:dyDescent="0.2">
      <c r="A8">
        <v>5</v>
      </c>
      <c r="B8" t="s">
        <v>10</v>
      </c>
      <c r="C8">
        <v>0.90587711299999996</v>
      </c>
      <c r="D8">
        <v>0.806254633</v>
      </c>
    </row>
    <row r="9" spans="1:4" x14ac:dyDescent="0.2">
      <c r="A9">
        <v>6</v>
      </c>
      <c r="B9" t="s">
        <v>11</v>
      </c>
      <c r="C9">
        <v>0.90650498899999998</v>
      </c>
      <c r="D9">
        <v>0.872234289</v>
      </c>
    </row>
    <row r="10" spans="1:4" x14ac:dyDescent="0.2">
      <c r="A10">
        <v>7</v>
      </c>
      <c r="B10" t="s">
        <v>12</v>
      </c>
      <c r="C10">
        <v>0.90650445199999996</v>
      </c>
      <c r="D10">
        <v>0.849032711</v>
      </c>
    </row>
    <row r="11" spans="1:4" x14ac:dyDescent="0.2">
      <c r="A11">
        <v>8</v>
      </c>
      <c r="B11" t="s">
        <v>13</v>
      </c>
      <c r="C11">
        <v>0.90571385599999998</v>
      </c>
      <c r="D11">
        <v>0.82247431400000004</v>
      </c>
    </row>
    <row r="12" spans="1:4" x14ac:dyDescent="0.2">
      <c r="A12">
        <v>9</v>
      </c>
      <c r="B12" t="s">
        <v>14</v>
      </c>
      <c r="C12">
        <v>0.91082721899999997</v>
      </c>
      <c r="D12">
        <v>0.80864275200000002</v>
      </c>
    </row>
    <row r="13" spans="1:4" x14ac:dyDescent="0.2">
      <c r="A13">
        <v>10</v>
      </c>
      <c r="B13" t="s">
        <v>15</v>
      </c>
      <c r="C13">
        <v>0.90070265500000002</v>
      </c>
      <c r="D13">
        <v>0.80896620399999997</v>
      </c>
    </row>
    <row r="14" spans="1:4" x14ac:dyDescent="0.2">
      <c r="A14">
        <v>11</v>
      </c>
      <c r="B14" t="s">
        <v>16</v>
      </c>
      <c r="C14">
        <v>0.90558433500000002</v>
      </c>
      <c r="D14">
        <v>0.86266231199999999</v>
      </c>
    </row>
    <row r="15" spans="1:4" x14ac:dyDescent="0.2">
      <c r="A15">
        <v>12</v>
      </c>
      <c r="B15" t="s">
        <v>17</v>
      </c>
      <c r="C15">
        <v>0.90039116100000005</v>
      </c>
      <c r="D15">
        <v>0.84636521499999995</v>
      </c>
    </row>
    <row r="16" spans="1:4" x14ac:dyDescent="0.2">
      <c r="A16">
        <v>13</v>
      </c>
      <c r="B16" t="s">
        <v>18</v>
      </c>
      <c r="C16">
        <v>0.902284741</v>
      </c>
      <c r="D16">
        <v>0.80308965700000001</v>
      </c>
    </row>
    <row r="17" spans="1:4" x14ac:dyDescent="0.2">
      <c r="A17">
        <v>14</v>
      </c>
      <c r="B17" t="s">
        <v>19</v>
      </c>
      <c r="C17">
        <v>0.90808731300000001</v>
      </c>
      <c r="D17">
        <v>0.84478864499999995</v>
      </c>
    </row>
    <row r="18" spans="1:4" x14ac:dyDescent="0.2">
      <c r="A18">
        <v>15</v>
      </c>
      <c r="B18" t="s">
        <v>20</v>
      </c>
      <c r="C18">
        <v>0.90454649899999995</v>
      </c>
      <c r="D18">
        <v>0.82408597500000003</v>
      </c>
    </row>
    <row r="19" spans="1:4" x14ac:dyDescent="0.2">
      <c r="A19">
        <v>16</v>
      </c>
      <c r="B19" t="s">
        <v>21</v>
      </c>
      <c r="C19">
        <v>0.90179783099999999</v>
      </c>
      <c r="D19">
        <v>0.836150489</v>
      </c>
    </row>
    <row r="20" spans="1:4" x14ac:dyDescent="0.2">
      <c r="A20">
        <v>17</v>
      </c>
      <c r="B20" t="s">
        <v>22</v>
      </c>
      <c r="C20">
        <v>0.91861778500000002</v>
      </c>
      <c r="D20">
        <v>0.81603934499999997</v>
      </c>
    </row>
    <row r="21" spans="1:4" x14ac:dyDescent="0.2">
      <c r="A21">
        <v>18</v>
      </c>
      <c r="B21" t="s">
        <v>23</v>
      </c>
      <c r="C21">
        <v>0.89872926500000005</v>
      </c>
      <c r="D21">
        <v>0.82054648799999996</v>
      </c>
    </row>
    <row r="22" spans="1:4" x14ac:dyDescent="0.2">
      <c r="A22">
        <v>19</v>
      </c>
      <c r="B22" t="s">
        <v>24</v>
      </c>
      <c r="C22">
        <v>0.89690113100000002</v>
      </c>
      <c r="D22">
        <v>0.81092177899999995</v>
      </c>
    </row>
    <row r="23" spans="1:4" x14ac:dyDescent="0.2">
      <c r="A23">
        <v>20</v>
      </c>
      <c r="B23" t="s">
        <v>25</v>
      </c>
      <c r="C23">
        <v>0.89791333699999998</v>
      </c>
      <c r="D23">
        <v>0.82632269000000003</v>
      </c>
    </row>
    <row r="24" spans="1:4" x14ac:dyDescent="0.2">
      <c r="A24">
        <v>21</v>
      </c>
      <c r="B24" t="s">
        <v>26</v>
      </c>
      <c r="C24">
        <v>0.89404505499999998</v>
      </c>
      <c r="D24">
        <v>0.829773812</v>
      </c>
    </row>
    <row r="25" spans="1:4" x14ac:dyDescent="0.2">
      <c r="A25">
        <v>22</v>
      </c>
      <c r="B25" t="s">
        <v>27</v>
      </c>
      <c r="C25">
        <v>0.90346032399999998</v>
      </c>
      <c r="D25">
        <v>0.838756532</v>
      </c>
    </row>
    <row r="26" spans="1:4" x14ac:dyDescent="0.2">
      <c r="A26">
        <v>23</v>
      </c>
      <c r="B26" t="s">
        <v>28</v>
      </c>
      <c r="C26">
        <v>0.90666985499999997</v>
      </c>
      <c r="D26">
        <v>0.79029157400000005</v>
      </c>
    </row>
    <row r="27" spans="1:4" x14ac:dyDescent="0.2">
      <c r="A27">
        <v>24</v>
      </c>
      <c r="B27" t="s">
        <v>29</v>
      </c>
      <c r="C27">
        <v>0.89817667000000001</v>
      </c>
      <c r="D27">
        <v>0.84042242599999994</v>
      </c>
    </row>
    <row r="28" spans="1:4" x14ac:dyDescent="0.2">
      <c r="A28">
        <v>25</v>
      </c>
      <c r="B28" t="s">
        <v>30</v>
      </c>
      <c r="C28">
        <v>0.89746248699999998</v>
      </c>
      <c r="D28">
        <v>0.83552326899999996</v>
      </c>
    </row>
    <row r="29" spans="1:4" x14ac:dyDescent="0.2">
      <c r="A29">
        <v>26</v>
      </c>
      <c r="B29" t="s">
        <v>31</v>
      </c>
      <c r="C29">
        <v>0.901002109</v>
      </c>
      <c r="D29">
        <v>0.80838226499999999</v>
      </c>
    </row>
    <row r="30" spans="1:4" x14ac:dyDescent="0.2">
      <c r="A30">
        <v>27</v>
      </c>
      <c r="B30" t="s">
        <v>32</v>
      </c>
      <c r="C30">
        <v>0.89171677800000004</v>
      </c>
      <c r="D30">
        <v>0.83514405899999999</v>
      </c>
    </row>
    <row r="31" spans="1:4" x14ac:dyDescent="0.2">
      <c r="A31">
        <v>28</v>
      </c>
      <c r="B31" t="s">
        <v>33</v>
      </c>
      <c r="C31">
        <v>0.89110237400000003</v>
      </c>
      <c r="D31">
        <v>0.83204964400000003</v>
      </c>
    </row>
    <row r="32" spans="1:4" x14ac:dyDescent="0.2">
      <c r="A32">
        <v>29</v>
      </c>
      <c r="B32" t="s">
        <v>34</v>
      </c>
      <c r="C32">
        <v>0.90108871499999998</v>
      </c>
      <c r="D32">
        <v>0.81099920000000003</v>
      </c>
    </row>
    <row r="33" spans="1:4" x14ac:dyDescent="0.2">
      <c r="A33">
        <v>30</v>
      </c>
      <c r="B33" t="s">
        <v>35</v>
      </c>
      <c r="C33">
        <v>0.90896809099999998</v>
      </c>
      <c r="D33">
        <v>0.80778238700000005</v>
      </c>
    </row>
    <row r="34" spans="1:4" x14ac:dyDescent="0.2">
      <c r="A34">
        <v>31</v>
      </c>
      <c r="B34" t="s">
        <v>36</v>
      </c>
      <c r="C34">
        <v>0.90575540099999996</v>
      </c>
      <c r="D34">
        <v>0.79467748100000002</v>
      </c>
    </row>
    <row r="35" spans="1:4" x14ac:dyDescent="0.2">
      <c r="A35">
        <v>32</v>
      </c>
      <c r="B35" t="s">
        <v>16</v>
      </c>
      <c r="C35">
        <v>0.90558433500000002</v>
      </c>
      <c r="D35">
        <v>0.86266231199999999</v>
      </c>
    </row>
    <row r="36" spans="1:4" x14ac:dyDescent="0.2">
      <c r="A36" s="1">
        <v>0</v>
      </c>
      <c r="B36" t="s">
        <v>60</v>
      </c>
      <c r="C36">
        <v>0.842315733432769</v>
      </c>
      <c r="D36">
        <v>0.66461325905025304</v>
      </c>
    </row>
    <row r="37" spans="1:4" x14ac:dyDescent="0.2">
      <c r="A37" s="1">
        <v>1</v>
      </c>
      <c r="B37" t="s">
        <v>61</v>
      </c>
      <c r="C37">
        <v>0.85711717605590798</v>
      </c>
      <c r="D37">
        <v>0.66817931835692501</v>
      </c>
    </row>
    <row r="38" spans="1:4" x14ac:dyDescent="0.2">
      <c r="A38" s="1">
        <v>2</v>
      </c>
      <c r="B38" t="s">
        <v>62</v>
      </c>
      <c r="C38">
        <v>0.84594821929931596</v>
      </c>
      <c r="D38">
        <v>0.66421759878542896</v>
      </c>
    </row>
    <row r="39" spans="1:4" x14ac:dyDescent="0.2">
      <c r="A39" s="1">
        <v>3</v>
      </c>
      <c r="B39" t="s">
        <v>63</v>
      </c>
      <c r="C39">
        <v>0.85850864648818903</v>
      </c>
      <c r="D39">
        <v>0.683512533109076</v>
      </c>
    </row>
    <row r="40" spans="1:4" x14ac:dyDescent="0.2">
      <c r="A40" s="1">
        <v>4</v>
      </c>
      <c r="B40" t="s">
        <v>64</v>
      </c>
      <c r="C40">
        <v>0.84384512901306097</v>
      </c>
      <c r="D40">
        <v>0.74483525223741798</v>
      </c>
    </row>
    <row r="41" spans="1:4" x14ac:dyDescent="0.2">
      <c r="A41" s="1">
        <v>5</v>
      </c>
      <c r="B41" t="s">
        <v>65</v>
      </c>
      <c r="C41">
        <v>0.83222568035125699</v>
      </c>
      <c r="D41">
        <v>0.71971286752095398</v>
      </c>
    </row>
    <row r="42" spans="1:4" x14ac:dyDescent="0.2">
      <c r="A42" s="1">
        <v>6</v>
      </c>
      <c r="B42" t="s">
        <v>66</v>
      </c>
      <c r="C42">
        <v>0.84027761220931996</v>
      </c>
      <c r="D42">
        <v>0.733636040193267</v>
      </c>
    </row>
    <row r="43" spans="1:4" x14ac:dyDescent="0.2">
      <c r="A43" s="1">
        <v>7</v>
      </c>
      <c r="B43" t="s">
        <v>67</v>
      </c>
      <c r="C43">
        <v>0.84572732448577803</v>
      </c>
      <c r="D43">
        <v>0.73257521748619103</v>
      </c>
    </row>
    <row r="44" spans="1:4" x14ac:dyDescent="0.2">
      <c r="A44" s="1">
        <v>8</v>
      </c>
      <c r="B44" t="s">
        <v>68</v>
      </c>
      <c r="C44">
        <v>0.84300214052200295</v>
      </c>
      <c r="D44">
        <v>0.66863588003118501</v>
      </c>
    </row>
    <row r="45" spans="1:4" x14ac:dyDescent="0.2">
      <c r="A45" s="1">
        <v>9</v>
      </c>
      <c r="B45" t="s">
        <v>69</v>
      </c>
      <c r="C45">
        <v>0.831307172775268</v>
      </c>
      <c r="D45">
        <v>0.72309114840328303</v>
      </c>
    </row>
    <row r="46" spans="1:4" x14ac:dyDescent="0.2">
      <c r="A46" s="1">
        <v>10</v>
      </c>
      <c r="B46" t="s">
        <v>70</v>
      </c>
      <c r="C46">
        <v>0.85746145248412997</v>
      </c>
      <c r="D46">
        <v>0.68727564119929996</v>
      </c>
    </row>
    <row r="47" spans="1:4" x14ac:dyDescent="0.2">
      <c r="A47" s="1">
        <v>0</v>
      </c>
      <c r="B47" t="s">
        <v>71</v>
      </c>
      <c r="C47">
        <v>0.93353462219238204</v>
      </c>
      <c r="D47">
        <v>0.79642835769172804</v>
      </c>
    </row>
    <row r="48" spans="1:4" x14ac:dyDescent="0.2">
      <c r="A48" s="1">
        <v>1</v>
      </c>
      <c r="B48" t="s">
        <v>72</v>
      </c>
      <c r="C48">
        <v>0.94221550226211503</v>
      </c>
      <c r="D48">
        <v>0.85157504594107603</v>
      </c>
    </row>
    <row r="49" spans="1:4" x14ac:dyDescent="0.2">
      <c r="A49" s="1">
        <v>2</v>
      </c>
      <c r="B49" t="s">
        <v>73</v>
      </c>
      <c r="C49">
        <v>0.93219959735870295</v>
      </c>
      <c r="D49">
        <v>0.82843491563640703</v>
      </c>
    </row>
    <row r="50" spans="1:4" x14ac:dyDescent="0.2">
      <c r="A50" s="1">
        <v>3</v>
      </c>
      <c r="B50" t="s">
        <v>74</v>
      </c>
      <c r="C50">
        <v>0.93208575248718195</v>
      </c>
      <c r="D50">
        <v>0.82121644011679396</v>
      </c>
    </row>
    <row r="51" spans="1:4" x14ac:dyDescent="0.2">
      <c r="A51" s="1">
        <v>4</v>
      </c>
      <c r="B51" t="s">
        <v>75</v>
      </c>
      <c r="C51">
        <v>0.92662012577056796</v>
      </c>
      <c r="D51">
        <v>0.82585128024208099</v>
      </c>
    </row>
    <row r="52" spans="1:4" x14ac:dyDescent="0.2">
      <c r="A52" s="1">
        <v>5</v>
      </c>
      <c r="B52" t="s">
        <v>76</v>
      </c>
      <c r="C52">
        <v>0.91991132497787398</v>
      </c>
      <c r="D52">
        <v>0.83145602133068097</v>
      </c>
    </row>
    <row r="53" spans="1:4" x14ac:dyDescent="0.2">
      <c r="A53" s="1">
        <v>6</v>
      </c>
      <c r="B53" t="s">
        <v>77</v>
      </c>
      <c r="C53">
        <v>0.93135362863540605</v>
      </c>
      <c r="D53">
        <v>0.84062305498745105</v>
      </c>
    </row>
    <row r="54" spans="1:4" x14ac:dyDescent="0.2">
      <c r="A54" s="1">
        <v>7</v>
      </c>
      <c r="B54" t="s">
        <v>78</v>
      </c>
      <c r="C54">
        <v>0.89067059755325295</v>
      </c>
      <c r="D54">
        <v>0.83521146425844595</v>
      </c>
    </row>
    <row r="55" spans="1:4" x14ac:dyDescent="0.2">
      <c r="A55" s="1">
        <v>8</v>
      </c>
      <c r="B55" t="s">
        <v>79</v>
      </c>
      <c r="C55">
        <v>0.92109704017639105</v>
      </c>
      <c r="D55">
        <v>0.82591430647310105</v>
      </c>
    </row>
    <row r="56" spans="1:4" x14ac:dyDescent="0.2">
      <c r="A56" s="1">
        <v>9</v>
      </c>
      <c r="B56" t="s">
        <v>80</v>
      </c>
      <c r="C56">
        <v>0.92333137989044101</v>
      </c>
      <c r="D56">
        <v>0.81831134651911797</v>
      </c>
    </row>
    <row r="57" spans="1:4" x14ac:dyDescent="0.2">
      <c r="A57" s="1">
        <v>10</v>
      </c>
      <c r="B57" t="s">
        <v>81</v>
      </c>
      <c r="C57">
        <v>0.89184886217117298</v>
      </c>
      <c r="D57">
        <v>0.82449049915458505</v>
      </c>
    </row>
    <row r="59" spans="1:4" x14ac:dyDescent="0.2">
      <c r="C59">
        <f>QUARTILE(C2:C56,0)</f>
        <v>0.831307172775268</v>
      </c>
      <c r="D59">
        <f>QUARTILE(D2:D56,0)</f>
        <v>0.66421759878542896</v>
      </c>
    </row>
    <row r="60" spans="1:4" x14ac:dyDescent="0.2">
      <c r="A60" t="s">
        <v>83</v>
      </c>
      <c r="C60">
        <f>QUARTILE(C3:C57,1)</f>
        <v>0.89178282008558651</v>
      </c>
      <c r="D60">
        <f>QUARTILE(D2:D56,1)</f>
        <v>0.79511520017293202</v>
      </c>
    </row>
    <row r="61" spans="1:4" x14ac:dyDescent="0.2">
      <c r="C61">
        <f>QUARTILE(C3:C57,2)</f>
        <v>0.90346032399999998</v>
      </c>
      <c r="D61">
        <f>QUARTILE(D2:D56,2)</f>
        <v>0.81754141525955903</v>
      </c>
    </row>
    <row r="62" spans="1:4" x14ac:dyDescent="0.2">
      <c r="C62" s="2">
        <f>QUARTILE(C5:C59,3)</f>
        <v>0.90962572399999997</v>
      </c>
      <c r="D62" s="2">
        <f>QUARTILE(D2:D56,3)</f>
        <v>0.83513417925</v>
      </c>
    </row>
    <row r="63" spans="1:4" x14ac:dyDescent="0.2">
      <c r="C63">
        <f>QUARTILE(C3:C57,4)</f>
        <v>0.94221550226211503</v>
      </c>
      <c r="D63">
        <f>QUARTILE(D2:D56,4)</f>
        <v>0.872234289</v>
      </c>
    </row>
    <row r="64" spans="1:4" x14ac:dyDescent="0.2">
      <c r="A64" t="s">
        <v>84</v>
      </c>
      <c r="C64">
        <f>MEDIAN(C3:C57)</f>
        <v>0.90346032399999998</v>
      </c>
      <c r="D64">
        <f>MEDIAN(D3:D57)</f>
        <v>0.81831134651911797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C5CF-8880-DA4A-9644-444E45CF5CA2}">
  <dimension ref="A1:E22"/>
  <sheetViews>
    <sheetView workbookViewId="0">
      <selection activeCell="M10" sqref="M10"/>
    </sheetView>
  </sheetViews>
  <sheetFormatPr baseColWidth="10" defaultRowHeight="16" x14ac:dyDescent="0.2"/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t="s">
        <v>60</v>
      </c>
      <c r="C2">
        <v>12</v>
      </c>
      <c r="D2">
        <v>0.842315733432769</v>
      </c>
      <c r="E2">
        <v>0.66461325905025304</v>
      </c>
    </row>
    <row r="3" spans="1:5" x14ac:dyDescent="0.2">
      <c r="A3" s="1">
        <v>1</v>
      </c>
      <c r="B3" t="s">
        <v>61</v>
      </c>
      <c r="C3">
        <v>12</v>
      </c>
      <c r="D3">
        <v>0.85711717605590798</v>
      </c>
      <c r="E3">
        <v>0.66817931835692501</v>
      </c>
    </row>
    <row r="4" spans="1:5" x14ac:dyDescent="0.2">
      <c r="A4" s="1">
        <v>2</v>
      </c>
      <c r="B4" t="s">
        <v>62</v>
      </c>
      <c r="C4">
        <v>12</v>
      </c>
      <c r="D4">
        <v>0.84594821929931596</v>
      </c>
      <c r="E4">
        <v>0.66421759878542896</v>
      </c>
    </row>
    <row r="5" spans="1:5" x14ac:dyDescent="0.2">
      <c r="A5" s="1">
        <v>3</v>
      </c>
      <c r="B5" t="s">
        <v>63</v>
      </c>
      <c r="C5">
        <v>12</v>
      </c>
      <c r="D5">
        <v>0.85850864648818903</v>
      </c>
      <c r="E5">
        <v>0.683512533109076</v>
      </c>
    </row>
    <row r="6" spans="1:5" x14ac:dyDescent="0.2">
      <c r="A6" s="1">
        <v>4</v>
      </c>
      <c r="B6" t="s">
        <v>64</v>
      </c>
      <c r="C6">
        <v>16</v>
      </c>
      <c r="D6">
        <v>0.84384512901306097</v>
      </c>
      <c r="E6">
        <v>0.74483525223741798</v>
      </c>
    </row>
    <row r="7" spans="1:5" x14ac:dyDescent="0.2">
      <c r="A7" s="1">
        <v>5</v>
      </c>
      <c r="B7" t="s">
        <v>65</v>
      </c>
      <c r="C7">
        <v>16</v>
      </c>
      <c r="D7">
        <v>0.83222568035125699</v>
      </c>
      <c r="E7">
        <v>0.71971286752095398</v>
      </c>
    </row>
    <row r="8" spans="1:5" x14ac:dyDescent="0.2">
      <c r="A8" s="1">
        <v>6</v>
      </c>
      <c r="B8" t="s">
        <v>66</v>
      </c>
      <c r="C8">
        <v>16</v>
      </c>
      <c r="D8">
        <v>0.84027761220931996</v>
      </c>
      <c r="E8">
        <v>0.733636040193267</v>
      </c>
    </row>
    <row r="9" spans="1:5" x14ac:dyDescent="0.2">
      <c r="A9" s="1">
        <v>7</v>
      </c>
      <c r="B9" t="s">
        <v>67</v>
      </c>
      <c r="C9">
        <v>16</v>
      </c>
      <c r="D9">
        <v>0.84572732448577803</v>
      </c>
      <c r="E9">
        <v>0.73257521748619103</v>
      </c>
    </row>
    <row r="10" spans="1:5" x14ac:dyDescent="0.2">
      <c r="A10" s="1">
        <v>8</v>
      </c>
      <c r="B10" t="s">
        <v>68</v>
      </c>
      <c r="C10">
        <v>12</v>
      </c>
      <c r="D10">
        <v>0.84300214052200295</v>
      </c>
      <c r="E10">
        <v>0.66863588003118501</v>
      </c>
    </row>
    <row r="11" spans="1:5" x14ac:dyDescent="0.2">
      <c r="A11" s="1">
        <v>9</v>
      </c>
      <c r="B11" t="s">
        <v>69</v>
      </c>
      <c r="C11">
        <v>16</v>
      </c>
      <c r="D11">
        <v>0.831307172775268</v>
      </c>
      <c r="E11">
        <v>0.72309114840328303</v>
      </c>
    </row>
    <row r="12" spans="1:5" x14ac:dyDescent="0.2">
      <c r="A12" s="1">
        <v>10</v>
      </c>
      <c r="B12" t="s">
        <v>70</v>
      </c>
      <c r="C12">
        <v>12</v>
      </c>
      <c r="D12">
        <v>0.85746145248412997</v>
      </c>
      <c r="E12">
        <v>0.68727564119929996</v>
      </c>
    </row>
    <row r="13" spans="1:5" x14ac:dyDescent="0.2">
      <c r="A13" t="s">
        <v>37</v>
      </c>
      <c r="D13">
        <f>AVERAGE(D2:D12)</f>
        <v>0.84524875337427285</v>
      </c>
      <c r="E13">
        <f>AVERAGE(E2:E12)</f>
        <v>0.69911679603393462</v>
      </c>
    </row>
    <row r="14" spans="1:5" x14ac:dyDescent="0.2">
      <c r="A14" t="s">
        <v>38</v>
      </c>
      <c r="D14">
        <f>MIN(D2:D12)</f>
        <v>0.831307172775268</v>
      </c>
      <c r="E14">
        <f>MIN(E2:E12)</f>
        <v>0.66421759878542896</v>
      </c>
    </row>
    <row r="15" spans="1:5" x14ac:dyDescent="0.2">
      <c r="A15" t="s">
        <v>57</v>
      </c>
      <c r="D15">
        <f>MAX(D2:D12)</f>
        <v>0.85850864648818903</v>
      </c>
      <c r="E15">
        <f>MAX(E2:E12)</f>
        <v>0.74483525223741798</v>
      </c>
    </row>
    <row r="16" spans="1:5" x14ac:dyDescent="0.2">
      <c r="A16" t="s">
        <v>59</v>
      </c>
      <c r="D16">
        <f>D13-D14</f>
        <v>1.3941580599004855E-2</v>
      </c>
      <c r="E16">
        <f>E13-E14</f>
        <v>3.4899197248505653E-2</v>
      </c>
    </row>
    <row r="17" spans="1:5" x14ac:dyDescent="0.2">
      <c r="A17" t="s">
        <v>58</v>
      </c>
      <c r="D17">
        <f>D15-D13</f>
        <v>1.3259893113916177E-2</v>
      </c>
      <c r="E17">
        <f>E15-E13</f>
        <v>4.571845620348336E-2</v>
      </c>
    </row>
    <row r="18" spans="1:5" x14ac:dyDescent="0.2">
      <c r="D18">
        <f>MEDIAN(D2:D12)</f>
        <v>0.84384512901306097</v>
      </c>
      <c r="E18">
        <f>MEDIAN(E2:E12)</f>
        <v>0.68727564119929996</v>
      </c>
    </row>
    <row r="19" spans="1:5" x14ac:dyDescent="0.2">
      <c r="A19" t="s">
        <v>84</v>
      </c>
      <c r="D19">
        <f>MEDIAN(D2:D12)</f>
        <v>0.84384512901306097</v>
      </c>
      <c r="E19">
        <f>MEDIAN(E2:E12)</f>
        <v>0.68727564119929996</v>
      </c>
    </row>
    <row r="20" spans="1:5" x14ac:dyDescent="0.2">
      <c r="A20" t="s">
        <v>85</v>
      </c>
      <c r="D20">
        <f>QUARTILE(D2:D12,1)</f>
        <v>0.84129667282104448</v>
      </c>
      <c r="E20">
        <f>QUARTILE(E2:E12,1)</f>
        <v>0.66840759919405501</v>
      </c>
    </row>
    <row r="21" spans="1:5" x14ac:dyDescent="0.2">
      <c r="A21" t="s">
        <v>86</v>
      </c>
      <c r="D21">
        <f>QUARTILE(D2:D12,3)</f>
        <v>0.85153269767761197</v>
      </c>
      <c r="E21">
        <f>QUARTILE(E2:E12,3)</f>
        <v>0.72783318294473709</v>
      </c>
    </row>
    <row r="22" spans="1:5" x14ac:dyDescent="0.2">
      <c r="A22" t="s">
        <v>87</v>
      </c>
      <c r="D22">
        <f>D21-D20</f>
        <v>1.0236024856567494E-2</v>
      </c>
      <c r="E22">
        <f>E21-E20</f>
        <v>5.9425583750682076E-2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24BE-8E13-1349-A44C-6988B0D6293D}">
  <dimension ref="A1:E21"/>
  <sheetViews>
    <sheetView workbookViewId="0">
      <selection activeCell="M14" sqref="M14"/>
    </sheetView>
  </sheetViews>
  <sheetFormatPr baseColWidth="10" defaultRowHeight="16" x14ac:dyDescent="0.2"/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t="s">
        <v>71</v>
      </c>
      <c r="C2">
        <v>8</v>
      </c>
      <c r="D2">
        <v>0.93353462219238204</v>
      </c>
      <c r="E2">
        <v>0.79642835769172804</v>
      </c>
    </row>
    <row r="3" spans="1:5" x14ac:dyDescent="0.2">
      <c r="A3" s="1">
        <v>1</v>
      </c>
      <c r="B3" t="s">
        <v>72</v>
      </c>
      <c r="C3">
        <v>1</v>
      </c>
      <c r="D3">
        <v>0.94221550226211503</v>
      </c>
      <c r="E3">
        <v>0.85157504594107603</v>
      </c>
    </row>
    <row r="4" spans="1:5" x14ac:dyDescent="0.2">
      <c r="A4" s="1">
        <v>2</v>
      </c>
      <c r="B4" t="s">
        <v>73</v>
      </c>
      <c r="C4">
        <v>6</v>
      </c>
      <c r="D4">
        <v>0.93219959735870295</v>
      </c>
      <c r="E4">
        <v>0.82843491563640703</v>
      </c>
    </row>
    <row r="5" spans="1:5" x14ac:dyDescent="0.2">
      <c r="A5" s="1">
        <v>3</v>
      </c>
      <c r="B5" t="s">
        <v>74</v>
      </c>
      <c r="C5">
        <v>6</v>
      </c>
      <c r="D5">
        <v>0.93208575248718195</v>
      </c>
      <c r="E5">
        <v>0.82121644011679396</v>
      </c>
    </row>
    <row r="6" spans="1:5" x14ac:dyDescent="0.2">
      <c r="A6" s="1">
        <v>4</v>
      </c>
      <c r="B6" t="s">
        <v>75</v>
      </c>
      <c r="C6">
        <v>4</v>
      </c>
      <c r="D6">
        <v>0.92662012577056796</v>
      </c>
      <c r="E6">
        <v>0.82585128024208099</v>
      </c>
    </row>
    <row r="7" spans="1:5" x14ac:dyDescent="0.2">
      <c r="A7" s="1">
        <v>5</v>
      </c>
      <c r="B7" t="s">
        <v>76</v>
      </c>
      <c r="C7">
        <v>6</v>
      </c>
      <c r="D7">
        <v>0.91991132497787398</v>
      </c>
      <c r="E7">
        <v>0.83145602133068097</v>
      </c>
    </row>
    <row r="8" spans="1:5" x14ac:dyDescent="0.2">
      <c r="A8" s="1">
        <v>6</v>
      </c>
      <c r="B8" t="s">
        <v>77</v>
      </c>
      <c r="C8">
        <v>6</v>
      </c>
      <c r="D8">
        <v>0.93135362863540605</v>
      </c>
      <c r="E8">
        <v>0.84062305498745105</v>
      </c>
    </row>
    <row r="9" spans="1:5" x14ac:dyDescent="0.2">
      <c r="A9" s="1">
        <v>7</v>
      </c>
      <c r="B9" t="s">
        <v>78</v>
      </c>
      <c r="C9">
        <v>7</v>
      </c>
      <c r="D9">
        <v>0.89067059755325295</v>
      </c>
      <c r="E9">
        <v>0.83521146425844595</v>
      </c>
    </row>
    <row r="10" spans="1:5" x14ac:dyDescent="0.2">
      <c r="A10" s="1">
        <v>8</v>
      </c>
      <c r="B10" t="s">
        <v>79</v>
      </c>
      <c r="C10">
        <v>6</v>
      </c>
      <c r="D10">
        <v>0.92109704017639105</v>
      </c>
      <c r="E10">
        <v>0.82591430647310105</v>
      </c>
    </row>
    <row r="11" spans="1:5" x14ac:dyDescent="0.2">
      <c r="A11" s="1">
        <v>9</v>
      </c>
      <c r="B11" t="s">
        <v>80</v>
      </c>
      <c r="C11">
        <v>6</v>
      </c>
      <c r="D11">
        <v>0.92333137989044101</v>
      </c>
      <c r="E11">
        <v>0.81831134651911797</v>
      </c>
    </row>
    <row r="12" spans="1:5" x14ac:dyDescent="0.2">
      <c r="A12" s="1">
        <v>10</v>
      </c>
      <c r="B12" t="s">
        <v>81</v>
      </c>
      <c r="C12">
        <v>7</v>
      </c>
      <c r="D12">
        <v>0.89184886217117298</v>
      </c>
      <c r="E12">
        <v>0.82449049915458505</v>
      </c>
    </row>
    <row r="13" spans="1:5" x14ac:dyDescent="0.2">
      <c r="A13" t="s">
        <v>37</v>
      </c>
      <c r="D13">
        <f>AVERAGE(D2:D12)</f>
        <v>0.92226076667958978</v>
      </c>
      <c r="E13">
        <f>AVERAGE(E2:E12)</f>
        <v>0.82722843021376991</v>
      </c>
    </row>
    <row r="14" spans="1:5" x14ac:dyDescent="0.2">
      <c r="A14" t="s">
        <v>38</v>
      </c>
      <c r="D14">
        <f>MIN(D2:D12)</f>
        <v>0.89067059755325295</v>
      </c>
      <c r="E14">
        <f>MIN(E2:E12)</f>
        <v>0.79642835769172804</v>
      </c>
    </row>
    <row r="15" spans="1:5" x14ac:dyDescent="0.2">
      <c r="A15" t="s">
        <v>57</v>
      </c>
      <c r="D15">
        <f>MAX(D2:D12)</f>
        <v>0.94221550226211503</v>
      </c>
      <c r="E15">
        <f>MAX(E2:E12)</f>
        <v>0.85157504594107603</v>
      </c>
    </row>
    <row r="16" spans="1:5" x14ac:dyDescent="0.2">
      <c r="A16" t="s">
        <v>59</v>
      </c>
      <c r="D16">
        <f>D13-D14</f>
        <v>3.1590169126336831E-2</v>
      </c>
      <c r="E16">
        <f>E13-E14</f>
        <v>3.0800072522041866E-2</v>
      </c>
    </row>
    <row r="17" spans="1:5" x14ac:dyDescent="0.2">
      <c r="A17" t="s">
        <v>58</v>
      </c>
      <c r="D17">
        <f>D15-D13</f>
        <v>1.9954735582525251E-2</v>
      </c>
      <c r="E17">
        <f>E15-E13</f>
        <v>2.434661572730612E-2</v>
      </c>
    </row>
    <row r="18" spans="1:5" x14ac:dyDescent="0.2">
      <c r="A18" t="s">
        <v>84</v>
      </c>
      <c r="D18">
        <f>MEDIAN(D2:D12)</f>
        <v>0.92662012577056796</v>
      </c>
      <c r="E18">
        <f>MEDIAN(E2:E12)</f>
        <v>0.82591430647310105</v>
      </c>
    </row>
    <row r="19" spans="1:5" x14ac:dyDescent="0.2">
      <c r="A19" t="s">
        <v>85</v>
      </c>
      <c r="D19">
        <f>QUARTILE(D2:D12,1)</f>
        <v>0.92050418257713251</v>
      </c>
      <c r="E19">
        <f>QUARTILE(E2:E12,1)</f>
        <v>0.82285346963568951</v>
      </c>
    </row>
    <row r="20" spans="1:5" x14ac:dyDescent="0.2">
      <c r="A20" t="s">
        <v>86</v>
      </c>
      <c r="D20">
        <f>QUARTILE(D2:D12,3)</f>
        <v>0.93214267492294245</v>
      </c>
      <c r="E20">
        <f>QUARTILE(E2:E12,3)</f>
        <v>0.83333374279456351</v>
      </c>
    </row>
    <row r="21" spans="1:5" x14ac:dyDescent="0.2">
      <c r="A21" t="s">
        <v>87</v>
      </c>
      <c r="D21">
        <f>D20-D19</f>
        <v>1.1638492345809937E-2</v>
      </c>
      <c r="E21">
        <f>E20-E19</f>
        <v>1.0480273158874009E-2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1512-2296-164F-9F5C-82CEE1D6CA1D}">
  <dimension ref="A1:E54"/>
  <sheetViews>
    <sheetView topLeftCell="A18" workbookViewId="0">
      <selection activeCell="O33" sqref="O3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 t="s">
        <v>88</v>
      </c>
      <c r="C2">
        <v>17</v>
      </c>
      <c r="D2">
        <v>0.90633571147918701</v>
      </c>
      <c r="E2">
        <v>0.81435650301505302</v>
      </c>
    </row>
    <row r="3" spans="1:5" x14ac:dyDescent="0.2">
      <c r="A3">
        <v>1</v>
      </c>
      <c r="B3" t="s">
        <v>89</v>
      </c>
      <c r="C3">
        <v>17</v>
      </c>
      <c r="D3">
        <v>0.89404749870300204</v>
      </c>
      <c r="E3">
        <v>0.79408274944545998</v>
      </c>
    </row>
    <row r="4" spans="1:5" x14ac:dyDescent="0.2">
      <c r="A4">
        <v>2</v>
      </c>
      <c r="B4" t="s">
        <v>90</v>
      </c>
      <c r="C4">
        <v>17</v>
      </c>
      <c r="D4">
        <v>0.89061564207077004</v>
      </c>
      <c r="E4">
        <v>0.79853779420126503</v>
      </c>
    </row>
    <row r="5" spans="1:5" x14ac:dyDescent="0.2">
      <c r="A5">
        <v>3</v>
      </c>
      <c r="B5" t="s">
        <v>91</v>
      </c>
      <c r="C5">
        <v>17</v>
      </c>
      <c r="D5">
        <v>0.90219408273696899</v>
      </c>
      <c r="E5">
        <v>0.81253037213954205</v>
      </c>
    </row>
    <row r="6" spans="1:5" x14ac:dyDescent="0.2">
      <c r="A6">
        <v>4</v>
      </c>
      <c r="B6" t="s">
        <v>92</v>
      </c>
      <c r="C6">
        <v>17</v>
      </c>
      <c r="D6">
        <v>0.89135813713073697</v>
      </c>
      <c r="E6">
        <v>0.80537544886701096</v>
      </c>
    </row>
    <row r="7" spans="1:5" x14ac:dyDescent="0.2">
      <c r="A7">
        <v>5</v>
      </c>
      <c r="B7" t="s">
        <v>93</v>
      </c>
      <c r="C7">
        <v>17</v>
      </c>
      <c r="D7">
        <v>0.89025574922561601</v>
      </c>
      <c r="E7">
        <v>0.78549569159531796</v>
      </c>
    </row>
    <row r="8" spans="1:5" x14ac:dyDescent="0.2">
      <c r="A8">
        <v>6</v>
      </c>
      <c r="B8" t="s">
        <v>94</v>
      </c>
      <c r="C8">
        <v>17</v>
      </c>
      <c r="D8">
        <v>0.88607543706893899</v>
      </c>
      <c r="E8">
        <v>0.78298485155659803</v>
      </c>
    </row>
    <row r="9" spans="1:5" x14ac:dyDescent="0.2">
      <c r="A9">
        <v>7</v>
      </c>
      <c r="B9" t="s">
        <v>95</v>
      </c>
      <c r="C9">
        <v>24</v>
      </c>
      <c r="D9">
        <v>0.89038753509521396</v>
      </c>
      <c r="E9">
        <v>0.76177668429901901</v>
      </c>
    </row>
    <row r="10" spans="1:5" x14ac:dyDescent="0.2">
      <c r="A10">
        <v>8</v>
      </c>
      <c r="B10" t="s">
        <v>96</v>
      </c>
      <c r="C10">
        <v>25</v>
      </c>
      <c r="D10">
        <v>0.88088327646255404</v>
      </c>
      <c r="E10">
        <v>0.72170374413691896</v>
      </c>
    </row>
    <row r="11" spans="1:5" x14ac:dyDescent="0.2">
      <c r="A11">
        <v>9</v>
      </c>
      <c r="B11" t="s">
        <v>97</v>
      </c>
      <c r="C11">
        <v>35</v>
      </c>
      <c r="D11">
        <v>0.89826375246047896</v>
      </c>
      <c r="E11">
        <v>0.73455567688802403</v>
      </c>
    </row>
    <row r="12" spans="1:5" x14ac:dyDescent="0.2">
      <c r="A12">
        <v>10</v>
      </c>
      <c r="B12" t="s">
        <v>98</v>
      </c>
      <c r="C12">
        <v>16</v>
      </c>
      <c r="D12">
        <v>0.89452093839645297</v>
      </c>
      <c r="E12">
        <v>0.78974820242960397</v>
      </c>
    </row>
    <row r="13" spans="1:5" x14ac:dyDescent="0.2">
      <c r="A13">
        <v>11</v>
      </c>
      <c r="B13" t="s">
        <v>99</v>
      </c>
      <c r="C13">
        <v>25</v>
      </c>
      <c r="D13">
        <v>0.87448376417160001</v>
      </c>
      <c r="E13">
        <v>0.73686892603853404</v>
      </c>
    </row>
    <row r="14" spans="1:5" x14ac:dyDescent="0.2">
      <c r="A14">
        <v>12</v>
      </c>
      <c r="B14" t="s">
        <v>100</v>
      </c>
      <c r="C14">
        <v>25</v>
      </c>
      <c r="D14">
        <v>0.87562263011932295</v>
      </c>
      <c r="E14">
        <v>0.73738173626252501</v>
      </c>
    </row>
    <row r="15" spans="1:5" x14ac:dyDescent="0.2">
      <c r="A15">
        <v>13</v>
      </c>
      <c r="B15" t="s">
        <v>101</v>
      </c>
      <c r="C15">
        <v>25</v>
      </c>
      <c r="D15">
        <v>0.88804012537002497</v>
      </c>
      <c r="E15">
        <v>0.77050675065051999</v>
      </c>
    </row>
    <row r="16" spans="1:5" x14ac:dyDescent="0.2">
      <c r="A16">
        <v>14</v>
      </c>
      <c r="B16" t="s">
        <v>102</v>
      </c>
      <c r="C16">
        <v>17</v>
      </c>
      <c r="D16">
        <v>0.88872677087783802</v>
      </c>
      <c r="E16">
        <v>0.79272783280522596</v>
      </c>
    </row>
    <row r="17" spans="1:5" x14ac:dyDescent="0.2">
      <c r="A17">
        <v>15</v>
      </c>
      <c r="B17" t="s">
        <v>103</v>
      </c>
      <c r="C17">
        <v>17</v>
      </c>
      <c r="D17">
        <v>0.88554692268371504</v>
      </c>
      <c r="E17">
        <v>0.78890414736088899</v>
      </c>
    </row>
    <row r="18" spans="1:5" x14ac:dyDescent="0.2">
      <c r="A18">
        <v>16</v>
      </c>
      <c r="B18" t="s">
        <v>104</v>
      </c>
      <c r="C18">
        <v>17</v>
      </c>
      <c r="D18">
        <v>0.89775419235229403</v>
      </c>
      <c r="E18">
        <v>0.80178507753047301</v>
      </c>
    </row>
    <row r="19" spans="1:5" x14ac:dyDescent="0.2">
      <c r="A19">
        <v>17</v>
      </c>
      <c r="B19" t="s">
        <v>105</v>
      </c>
      <c r="C19">
        <v>17</v>
      </c>
      <c r="D19">
        <v>0.89734292030334395</v>
      </c>
      <c r="E19">
        <v>0.79742141076406003</v>
      </c>
    </row>
    <row r="20" spans="1:5" x14ac:dyDescent="0.2">
      <c r="A20">
        <v>18</v>
      </c>
      <c r="B20" t="s">
        <v>106</v>
      </c>
      <c r="C20">
        <v>17</v>
      </c>
      <c r="D20">
        <v>0.89513301849365201</v>
      </c>
      <c r="E20">
        <v>0.79821427798575995</v>
      </c>
    </row>
    <row r="21" spans="1:5" x14ac:dyDescent="0.2">
      <c r="A21">
        <v>19</v>
      </c>
      <c r="B21" t="s">
        <v>107</v>
      </c>
      <c r="C21">
        <v>17</v>
      </c>
      <c r="D21">
        <v>0.89767795801162698</v>
      </c>
      <c r="E21">
        <v>0.80099364199883505</v>
      </c>
    </row>
    <row r="22" spans="1:5" x14ac:dyDescent="0.2">
      <c r="A22">
        <v>20</v>
      </c>
      <c r="B22" t="s">
        <v>108</v>
      </c>
      <c r="C22">
        <v>17</v>
      </c>
      <c r="D22">
        <v>0.89037150144577004</v>
      </c>
      <c r="E22">
        <v>0.79299399936014203</v>
      </c>
    </row>
    <row r="23" spans="1:5" x14ac:dyDescent="0.2">
      <c r="A23">
        <v>21</v>
      </c>
      <c r="B23" t="s">
        <v>109</v>
      </c>
      <c r="C23">
        <v>17</v>
      </c>
      <c r="D23">
        <v>0.88915675878524703</v>
      </c>
      <c r="E23">
        <v>0.79346670590421498</v>
      </c>
    </row>
    <row r="24" spans="1:5" x14ac:dyDescent="0.2">
      <c r="A24">
        <v>22</v>
      </c>
      <c r="B24" t="s">
        <v>110</v>
      </c>
      <c r="C24">
        <v>17</v>
      </c>
      <c r="D24">
        <v>0.885084688663482</v>
      </c>
      <c r="E24">
        <v>0.76526812777740305</v>
      </c>
    </row>
    <row r="25" spans="1:5" x14ac:dyDescent="0.2">
      <c r="A25">
        <v>23</v>
      </c>
      <c r="B25" t="s">
        <v>111</v>
      </c>
      <c r="C25">
        <v>17</v>
      </c>
      <c r="D25">
        <v>0.88464272022247303</v>
      </c>
      <c r="E25">
        <v>0.79960223406326303</v>
      </c>
    </row>
    <row r="26" spans="1:5" x14ac:dyDescent="0.2">
      <c r="A26">
        <v>24</v>
      </c>
      <c r="B26" t="s">
        <v>112</v>
      </c>
      <c r="C26">
        <v>17</v>
      </c>
      <c r="D26">
        <v>0.88046777248382502</v>
      </c>
      <c r="E26">
        <v>0.77615198546898101</v>
      </c>
    </row>
    <row r="27" spans="1:5" x14ac:dyDescent="0.2">
      <c r="A27">
        <v>25</v>
      </c>
      <c r="B27" t="s">
        <v>113</v>
      </c>
      <c r="C27">
        <v>17</v>
      </c>
      <c r="D27">
        <v>0.873110711574554</v>
      </c>
      <c r="E27">
        <v>0.77280449580206501</v>
      </c>
    </row>
    <row r="28" spans="1:5" x14ac:dyDescent="0.2">
      <c r="A28">
        <v>26</v>
      </c>
      <c r="B28" t="s">
        <v>114</v>
      </c>
      <c r="C28">
        <v>17</v>
      </c>
      <c r="D28">
        <v>0.87667548656463601</v>
      </c>
      <c r="E28">
        <v>0.76120745337073104</v>
      </c>
    </row>
    <row r="29" spans="1:5" x14ac:dyDescent="0.2">
      <c r="A29">
        <v>27</v>
      </c>
      <c r="B29" t="s">
        <v>115</v>
      </c>
      <c r="C29">
        <v>17</v>
      </c>
      <c r="D29">
        <v>0.880049347877502</v>
      </c>
      <c r="E29">
        <v>0.76181388251361803</v>
      </c>
    </row>
    <row r="30" spans="1:5" x14ac:dyDescent="0.2">
      <c r="A30">
        <v>28</v>
      </c>
      <c r="B30" t="s">
        <v>116</v>
      </c>
      <c r="C30">
        <v>17</v>
      </c>
      <c r="D30">
        <v>0.87030285596847501</v>
      </c>
      <c r="E30">
        <v>0.756748204366681</v>
      </c>
    </row>
    <row r="31" spans="1:5" x14ac:dyDescent="0.2">
      <c r="A31">
        <v>29</v>
      </c>
      <c r="B31" t="s">
        <v>117</v>
      </c>
      <c r="C31">
        <v>17</v>
      </c>
      <c r="D31">
        <v>0.86530822515487604</v>
      </c>
      <c r="E31">
        <v>0.75219996169284598</v>
      </c>
    </row>
    <row r="32" spans="1:5" x14ac:dyDescent="0.2">
      <c r="A32">
        <v>30</v>
      </c>
      <c r="B32" t="s">
        <v>118</v>
      </c>
      <c r="C32">
        <v>17</v>
      </c>
      <c r="D32">
        <v>0.88990074396133401</v>
      </c>
      <c r="E32">
        <v>0.79412921456896202</v>
      </c>
    </row>
    <row r="33" spans="1:5" x14ac:dyDescent="0.2">
      <c r="A33">
        <v>31</v>
      </c>
      <c r="B33" t="s">
        <v>119</v>
      </c>
      <c r="C33">
        <v>17</v>
      </c>
      <c r="D33">
        <v>0.85516983270645097</v>
      </c>
      <c r="E33">
        <v>0.75657590143669096</v>
      </c>
    </row>
    <row r="34" spans="1:5" x14ac:dyDescent="0.2">
      <c r="A34">
        <v>32</v>
      </c>
      <c r="B34" t="s">
        <v>120</v>
      </c>
      <c r="C34">
        <v>17</v>
      </c>
      <c r="D34">
        <v>0.86119115352630604</v>
      </c>
      <c r="E34">
        <v>0.74987792676616205</v>
      </c>
    </row>
    <row r="35" spans="1:5" x14ac:dyDescent="0.2">
      <c r="A35">
        <v>33</v>
      </c>
      <c r="B35" t="s">
        <v>121</v>
      </c>
      <c r="C35">
        <v>17</v>
      </c>
      <c r="D35">
        <v>0.851224064826965</v>
      </c>
      <c r="E35">
        <v>0.75255958014744895</v>
      </c>
    </row>
    <row r="36" spans="1:5" x14ac:dyDescent="0.2">
      <c r="A36">
        <v>34</v>
      </c>
      <c r="B36" t="s">
        <v>122</v>
      </c>
      <c r="C36">
        <v>17</v>
      </c>
      <c r="D36">
        <v>0.84416097402572599</v>
      </c>
      <c r="E36">
        <v>0.74542927796013003</v>
      </c>
    </row>
    <row r="37" spans="1:5" x14ac:dyDescent="0.2">
      <c r="A37">
        <v>35</v>
      </c>
      <c r="B37" t="s">
        <v>123</v>
      </c>
      <c r="C37">
        <v>7</v>
      </c>
      <c r="D37">
        <v>0.83861327171325595</v>
      </c>
      <c r="E37">
        <v>0.75712391524954403</v>
      </c>
    </row>
    <row r="38" spans="1:5" x14ac:dyDescent="0.2">
      <c r="A38">
        <v>36</v>
      </c>
      <c r="B38" t="s">
        <v>124</v>
      </c>
      <c r="C38">
        <v>7</v>
      </c>
      <c r="D38">
        <v>0.83849209547042802</v>
      </c>
      <c r="E38">
        <v>0.75063558385815499</v>
      </c>
    </row>
    <row r="39" spans="1:5" x14ac:dyDescent="0.2">
      <c r="A39">
        <v>37</v>
      </c>
      <c r="B39" t="s">
        <v>125</v>
      </c>
      <c r="C39">
        <v>17</v>
      </c>
      <c r="D39">
        <v>0.83704107999801602</v>
      </c>
      <c r="E39">
        <v>0.73277415035312699</v>
      </c>
    </row>
    <row r="40" spans="1:5" x14ac:dyDescent="0.2">
      <c r="A40">
        <v>38</v>
      </c>
      <c r="B40" t="s">
        <v>126</v>
      </c>
      <c r="C40">
        <v>17</v>
      </c>
      <c r="D40">
        <v>0.83674418926239003</v>
      </c>
      <c r="E40">
        <v>0.73532839406454198</v>
      </c>
    </row>
    <row r="41" spans="1:5" x14ac:dyDescent="0.2">
      <c r="A41">
        <v>39</v>
      </c>
      <c r="B41" t="s">
        <v>127</v>
      </c>
      <c r="C41">
        <v>17</v>
      </c>
      <c r="D41">
        <v>0.83708834648132302</v>
      </c>
      <c r="E41">
        <v>0.73334332159582605</v>
      </c>
    </row>
    <row r="42" spans="1:5" x14ac:dyDescent="0.2">
      <c r="A42">
        <v>40</v>
      </c>
      <c r="B42" t="s">
        <v>128</v>
      </c>
      <c r="C42">
        <v>17</v>
      </c>
      <c r="D42">
        <v>0.87811923027038497</v>
      </c>
      <c r="E42">
        <v>0.79543829003202005</v>
      </c>
    </row>
    <row r="43" spans="1:5" x14ac:dyDescent="0.2">
      <c r="A43">
        <v>41</v>
      </c>
      <c r="B43" t="s">
        <v>129</v>
      </c>
      <c r="C43">
        <v>17</v>
      </c>
      <c r="D43">
        <v>0.87342762947082497</v>
      </c>
      <c r="E43">
        <v>0.792211490153931</v>
      </c>
    </row>
    <row r="45" spans="1:5" x14ac:dyDescent="0.2">
      <c r="A45" t="s">
        <v>37</v>
      </c>
      <c r="D45">
        <f>AVERAGE(D2:D43)</f>
        <v>0.87765735103970466</v>
      </c>
      <c r="E45">
        <f>AVERAGE(E2:E43)</f>
        <v>0.77270560991612158</v>
      </c>
    </row>
    <row r="46" spans="1:5" x14ac:dyDescent="0.2">
      <c r="A46" t="s">
        <v>38</v>
      </c>
      <c r="D46">
        <f>MIN(D2:D43)</f>
        <v>0.83674418926239003</v>
      </c>
      <c r="E46">
        <f>MIN(E2:E43)</f>
        <v>0.72170374413691896</v>
      </c>
    </row>
    <row r="47" spans="1:5" x14ac:dyDescent="0.2">
      <c r="A47" t="s">
        <v>57</v>
      </c>
      <c r="D47">
        <f>MAX(D2:D43)</f>
        <v>0.90633571147918701</v>
      </c>
      <c r="E47">
        <f>MAX(E2:E43)</f>
        <v>0.81435650301505302</v>
      </c>
    </row>
    <row r="48" spans="1:5" x14ac:dyDescent="0.2">
      <c r="A48" t="s">
        <v>59</v>
      </c>
      <c r="D48">
        <f>D45-D46</f>
        <v>4.0913161777314633E-2</v>
      </c>
      <c r="E48">
        <f>E45-E46</f>
        <v>5.1001865779202626E-2</v>
      </c>
    </row>
    <row r="49" spans="1:5" x14ac:dyDescent="0.2">
      <c r="A49" t="s">
        <v>58</v>
      </c>
      <c r="D49">
        <f>D47-D45</f>
        <v>2.8678360439482353E-2</v>
      </c>
      <c r="E49">
        <f>E47-E45</f>
        <v>4.1650893098931441E-2</v>
      </c>
    </row>
    <row r="51" spans="1:5" x14ac:dyDescent="0.2">
      <c r="A51" t="s">
        <v>84</v>
      </c>
      <c r="D51">
        <f>MEDIAN(D2:D43)</f>
        <v>0.88486370444297746</v>
      </c>
      <c r="E51">
        <f>MEDIAN(E2:E43)</f>
        <v>0.77447824063552306</v>
      </c>
    </row>
    <row r="52" spans="1:5" x14ac:dyDescent="0.2">
      <c r="A52" t="s">
        <v>85</v>
      </c>
      <c r="D52">
        <f>QUARTILE(D2:D43,1)</f>
        <v>0.87100481986999478</v>
      </c>
      <c r="E52">
        <f>QUARTILE(E2:E43,1)</f>
        <v>0.75228986630649675</v>
      </c>
    </row>
    <row r="53" spans="1:5" x14ac:dyDescent="0.2">
      <c r="A53" t="s">
        <v>86</v>
      </c>
      <c r="D53">
        <f>QUARTILE(D2:D43,3)</f>
        <v>0.89055861532688096</v>
      </c>
      <c r="E53">
        <f>QUARTILE(E2:E43,3)</f>
        <v>0.79411759828808648</v>
      </c>
    </row>
    <row r="54" spans="1:5" x14ac:dyDescent="0.2">
      <c r="A54" t="s">
        <v>87</v>
      </c>
      <c r="D54">
        <f>D53-D52</f>
        <v>1.955379545688618E-2</v>
      </c>
      <c r="E54">
        <f>E53-E52</f>
        <v>4.1827731981589733E-2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evaluation_results WaterM</vt:lpstr>
      <vt:lpstr>Feuil1</vt:lpstr>
      <vt:lpstr>Perso</vt:lpstr>
      <vt:lpstr>Google</vt:lpstr>
      <vt:lpstr>OpenCart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SALVA</dc:creator>
  <cp:lastModifiedBy>Sebastien SALVA</cp:lastModifiedBy>
  <dcterms:created xsi:type="dcterms:W3CDTF">2026-06-14T16:31:32Z</dcterms:created>
  <dcterms:modified xsi:type="dcterms:W3CDTF">2026-06-17T13:25:34Z</dcterms:modified>
</cp:coreProperties>
</file>