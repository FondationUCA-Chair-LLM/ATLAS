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salva/Desktop/evaluation/evalRQ2/"/>
    </mc:Choice>
  </mc:AlternateContent>
  <xr:revisionPtr revIDLastSave="0" documentId="13_ncr:1_{81A3F6B4-FA7E-B54E-A167-B243A8C8D0B6}" xr6:coauthVersionLast="47" xr6:coauthVersionMax="47" xr10:uidLastSave="{00000000-0000-0000-0000-000000000000}"/>
  <bookViews>
    <workbookView xWindow="1100" yWindow="880" windowWidth="28040" windowHeight="17180" xr2:uid="{CD86EC46-A4DD-4449-82D2-616D6D4E8A34}"/>
  </bookViews>
  <sheets>
    <sheet name="claude code com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0" i="1" l="1"/>
  <c r="F10" i="1"/>
  <c r="E61" i="1"/>
  <c r="E55" i="1"/>
  <c r="H25" i="1"/>
  <c r="H20" i="1"/>
  <c r="H10" i="1"/>
  <c r="H13" i="1"/>
  <c r="C61" i="1"/>
  <c r="C56" i="1"/>
  <c r="D20" i="1"/>
  <c r="D25" i="1"/>
  <c r="C60" i="1"/>
  <c r="C55" i="1"/>
  <c r="B55" i="1"/>
  <c r="B10" i="1"/>
  <c r="D10" i="1"/>
  <c r="D13" i="1"/>
</calcChain>
</file>

<file path=xl/sharedStrings.xml><?xml version="1.0" encoding="utf-8"?>
<sst xmlns="http://schemas.openxmlformats.org/spreadsheetml/2006/main" count="86" uniqueCount="69">
  <si>
    <t>claude code</t>
  </si>
  <si>
    <t>opus 4.6 MAX</t>
  </si>
  <si>
    <t>App1</t>
  </si>
  <si>
    <t>pass ratio</t>
  </si>
  <si>
    <t>prompt</t>
  </si>
  <si>
    <t>scenarios</t>
  </si>
  <si>
    <r>
      <t>S01Start → anonymous home</t>
    </r>
    <r>
      <rPr>
        <sz val="10"/>
        <color theme="1"/>
        <rFont val="Arial Unicode MS"/>
        <family val="2"/>
      </rPr>
      <t xml:space="preserve">Start → HomeAnon
</t>
    </r>
    <r>
      <rPr>
        <sz val="12"/>
        <color theme="1"/>
        <rFont val="Aptos Narrow"/>
        <family val="2"/>
        <scheme val="minor"/>
      </rPr>
      <t>S02Anon home → Sign Up page</t>
    </r>
    <r>
      <rPr>
        <sz val="10"/>
        <color theme="1"/>
        <rFont val="Arial Unicode MS"/>
        <family val="2"/>
      </rPr>
      <t xml:space="preserve">HomeAnon → SignUp
</t>
    </r>
    <r>
      <rPr>
        <sz val="12"/>
        <color theme="1"/>
        <rFont val="Aptos Narrow"/>
        <family val="2"/>
        <scheme val="minor"/>
      </rPr>
      <t>S03Sign Up → back to anon home</t>
    </r>
    <r>
      <rPr>
        <sz val="10"/>
        <color theme="1"/>
        <rFont val="Arial Unicode MS"/>
        <family val="2"/>
      </rPr>
      <t>SignUp → HomeAnon</t>
    </r>
    <r>
      <rPr>
        <sz val="12"/>
        <color theme="1"/>
        <rFont val="Aptos Narrow"/>
        <family val="2"/>
        <scheme val="minor"/>
      </rPr>
      <t xml:space="preserve"> (Home link)
S04Sign Up → Account Created</t>
    </r>
    <r>
      <rPr>
        <sz val="10"/>
        <color theme="1"/>
        <rFont val="Arial Unicode MS"/>
        <family val="2"/>
      </rPr>
      <t xml:space="preserve">SignUp → AccountCreated
</t>
    </r>
    <r>
      <rPr>
        <sz val="12"/>
        <color theme="1"/>
        <rFont val="Aptos Narrow"/>
        <family val="2"/>
        <scheme val="minor"/>
      </rPr>
      <t>S05Account Created → authenticated home</t>
    </r>
    <r>
      <rPr>
        <sz val="10"/>
        <color theme="1"/>
        <rFont val="Arial Unicode MS"/>
        <family val="2"/>
      </rPr>
      <t xml:space="preserve">AccountCreated → HomeAuth
</t>
    </r>
    <r>
      <rPr>
        <sz val="12"/>
        <color theme="1"/>
        <rFont val="Aptos Narrow"/>
        <family val="2"/>
        <scheme val="minor"/>
      </rPr>
      <t>S06Authenticated home → Sign out</t>
    </r>
    <r>
      <rPr>
        <sz val="10"/>
        <color theme="1"/>
        <rFont val="Arial Unicode MS"/>
        <family val="2"/>
      </rPr>
      <t xml:space="preserve">HomeAuth → HomeAnon
</t>
    </r>
    <r>
      <rPr>
        <sz val="12"/>
        <color theme="1"/>
        <rFont val="Aptos Narrow"/>
        <family val="2"/>
        <scheme val="minor"/>
      </rPr>
      <t>S07Authenticated home → New Snippet → My Snippets</t>
    </r>
    <r>
      <rPr>
        <sz val="10"/>
        <color theme="1"/>
        <rFont val="Arial Unicode MS"/>
        <family val="2"/>
      </rPr>
      <t xml:space="preserve">HomeAuth → NewSnippet → MySnippetsAdded
</t>
    </r>
    <r>
      <rPr>
        <sz val="12"/>
        <color theme="1"/>
        <rFont val="Aptos Narrow"/>
        <family val="2"/>
        <scheme val="minor"/>
      </rPr>
      <t>S08Authenticated home → My Snippets (empty)</t>
    </r>
    <r>
      <rPr>
        <sz val="10"/>
        <color theme="1"/>
        <rFont val="Arial Unicode MS"/>
        <family val="2"/>
      </rPr>
      <t xml:space="preserve">HomeAuth → MySnippetsEmpty
</t>
    </r>
    <r>
      <rPr>
        <sz val="12"/>
        <color theme="1"/>
        <rFont val="Aptos Narrow"/>
        <family val="2"/>
        <scheme val="minor"/>
      </rPr>
      <t>S09My Snippets (empty) → authenticated home</t>
    </r>
    <r>
      <rPr>
        <sz val="10"/>
        <color theme="1"/>
        <rFont val="Arial Unicode MS"/>
        <family val="2"/>
      </rPr>
      <t xml:space="preserve">MySnippetsEmpty → HomeAuth
</t>
    </r>
    <r>
      <rPr>
        <sz val="12"/>
        <color theme="1"/>
        <rFont val="Aptos Narrow"/>
        <family val="2"/>
        <scheme val="minor"/>
      </rPr>
      <t>S10Authenticated home → Profile (view)</t>
    </r>
    <r>
      <rPr>
        <sz val="10"/>
        <color theme="1"/>
        <rFont val="Arial Unicode MS"/>
        <family val="2"/>
      </rPr>
      <t xml:space="preserve">HomeAuth → Profile
</t>
    </r>
    <r>
      <rPr>
        <sz val="12"/>
        <color theme="1"/>
        <rFont val="Aptos Narrow"/>
        <family val="2"/>
        <scheme val="minor"/>
      </rPr>
      <t>S11Profile → Update → authenticated home</t>
    </r>
    <r>
      <rPr>
        <sz val="10"/>
        <color theme="1"/>
        <rFont val="Arial Unicode MS"/>
        <family val="2"/>
      </rPr>
      <t xml:space="preserve">Profile → HomeAuth
</t>
    </r>
    <r>
      <rPr>
        <sz val="12"/>
        <color theme="1"/>
        <rFont val="Aptos Narrow"/>
        <family val="2"/>
        <scheme val="minor"/>
      </rPr>
      <t>S12Full end-to-end happy pathAll nodes, all transitions</t>
    </r>
  </si>
  <si>
    <t>S01 02 03 useless</t>
  </si>
  <si>
    <t>takes business data correctly</t>
  </si>
  <si>
    <t>several intermediate assertions , some are useless check elements are presents, but elements present on several pages</t>
  </si>
  <si>
    <t>prompt2</t>
  </si>
  <si>
    <t>Act as a software tester expert in the generation of acceptance tests for web applications. Goal : Generate tests for the web application with the URL "https://google-gruyere.appspot.com/start". Input : we have a graph expressing behavior of the application. the file "navigation_graph.json" describes the graph in json with nodes and interactions expressing transitions from one node to another. Screens in attachment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acceptance tests written in natural language. Always start from the root of the application. The action Upload must not be considered. 2. check and provide these scenarios 3. generate one test script using playwright for each scenario. Use the xpaths in xpath_mapping.json here. 4. check the code carefully.</t>
  </si>
  <si>
    <t>Scenario 1 – Start → Anonymous Home From the Start page, click "Agree &amp; Start" → lands on the anonymous Home page showing "Most recent snippets", with "Sign in" and "Sign up" in the menu.</t>
  </si>
  <si>
    <t>Scenario 2 – Sign Up → Account Created From Home (anon), navigate to Sign Up, enter username "toto" and password "toto", click "Create account" → "Account created." confirmation message appears.</t>
  </si>
  <si>
    <t>Scenario 3 – Account Created → Authenticated Home After account creation, click "Home" → lands on authenticated Home with the full left nav (Home, My Snippets, New Snippet, Upload) and right nav (Profile, Sign out).</t>
  </si>
  <si>
    <t>Scenario 4 – Sign In via Sign Up page → Home (anon) From Sign Up page, click "Home" → returns to anonymous Home.</t>
  </si>
  <si>
    <t>Scenario 5 – Authenticated Home → Sign Out → Anonymous Home From authenticated Home, click "Sign out" → returns to anonymous Home with "Sign in" / "Sign up" menu.</t>
  </si>
  <si>
    <t>Scenario 6 – Authenticated Home → New Snippet → My Snippets (with snippet) From authenticated Home, navigate to "New Snippet", type "hello snippet" in textarea, click "Submit" → lands on My Snippets showing the snippet listed.</t>
  </si>
  <si>
    <t>Scenario 7 – Authenticated Home → My Snippets (empty) From authenticated Home, click "My Snippets" (with a fresh account before any snippet) → lands on My Snippets showing "No snippets."</t>
  </si>
  <si>
    <t>Scenario 8 – My Snippets (empty) → Home From the My Snippets empty page, click "Home" → returns to authenticated Home.</t>
  </si>
  <si>
    <t>Scenario 9 – Authenticated Home → Profile → Update → Home From authenticated Home, click "Profile" → lands on Profile page with all fields. Fill User name and OLD Password, click "Update" → returns to authenticated Home.</t>
  </si>
  <si>
    <t>results</t>
  </si>
  <si>
    <t>S2 in S3; S7 in S8; poor coverage of the graph ?</t>
  </si>
  <si>
    <t>several scnarios inside others in 4,  1,2,3</t>
  </si>
  <si>
    <t>attempt 1</t>
  </si>
  <si>
    <t>I give the expected number of scenarios</t>
  </si>
  <si>
    <t>scenario 4 in 5</t>
  </si>
  <si>
    <t>attempt 2</t>
  </si>
  <si>
    <t>I don't give the number of scenarios; I ask for acceptance tests in natural language</t>
  </si>
  <si>
    <t>attempt 0</t>
  </si>
  <si>
    <t>I give the expected number of scenarios; no recommendation on scenario extraction (do not ask for restarting from the initial state)</t>
  </si>
  <si>
    <t>Google gruyere</t>
  </si>
  <si>
    <t>Personal Web site</t>
  </si>
  <si>
    <t>OpenCart</t>
  </si>
  <si>
    <t>WaterManagement Supply</t>
  </si>
  <si>
    <t>#tests</t>
  </si>
  <si>
    <t># tests</t>
  </si>
  <si>
    <t>summary</t>
  </si>
  <si>
    <t>Apps</t>
  </si>
  <si>
    <t>PER</t>
  </si>
  <si>
    <t>CC1</t>
  </si>
  <si>
    <t>CC2</t>
  </si>
  <si>
    <t>Act as a software tester expert in the generation of acceptance tests for web applications. Goal : Generate tests for the web application with the URL "https://perso.limos.fr/~sesalva/".  Input : we have a graph expressing behavior of the application. the file "navigation_graph.json" describes the graph in json with nodes and interactions expressing transitions from one node to another. Screens in attachment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13 scenarios. 
 2. check and provide these scenarios 
3. generate one test script using playwright for each scenario. Use the xpaths in xpath_mapping.json here. 
4. check the code carefully.</t>
  </si>
  <si>
    <t xml:space="preserve">error in elements apprering several times TC1, wrong assertions; </t>
  </si>
  <si>
    <t>results;coverage</t>
  </si>
  <si>
    <t>#ScenarioSource
TC-01Home page loads: biography, interests, education, navbarAll 7 home_*.png + graph node Home
TC-02Home → Research (content check)Edge Home→Research + research_1.png
TC-03Home → Tools (3 tool sections)Edge Home→Tools + tools.png
TC-04Home → Publications (list + filters)Edge Home→Publications + publication.png
TC-05Home → Teaching (sidebar + BUT 2A/3A)Edge Home→Teaching + teaching_1.png
TC-06Research → Home (return nav)Edge Research→Home
TC-07Publications → NL Exec detail (title, abstract, PDF/Cite)Edge Publications→PublicationsNLExec + publication_on_soundness.png
TC-08Search "On the Soundness" → 1 filtered resultXPath PUB_SEARCH + publication_searched.png
TC-09Teaching → Cours Software Engineering detailEdge Teaching→TeachingSE + teaching_software_eng.png
TC-10Tools → Home (return nav)Edge Tools→Home
TC-11Contact form: all fields visible, accept inputHome graph self-loop on "Send" + home_7.png
TC-12Projects section: stays on Home, shows filter tabs + projectsHome graph self-loop "Projects" + projects.png
TC-13Full round-trip: Home → Teaching → Home</t>
  </si>
  <si>
    <t>coverage</t>
  </si>
  <si>
    <t>Act as a software tester expert in the generation of acceptance tests for web applications.
Goal : Generate tests for the web application with the URL "https://google-gruyere.appspot.com/start". 
Input : we have a graph expressing behavior of the application. the file "navigation_graph.json" describes the graph in json with nodes and interactions expressing transitions from one node to another. Screens in attachment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12 scenarios. Always start from the root of the application. The action Upload must not be considered.
2. check and provide these scenarios
3. generate one test script using playwright for each scenario. Use the xpaths in xpath_mapping.json here.
4. check the code carefully.</t>
  </si>
  <si>
    <t>invention links /publications/i, /software.engineering|software_engineering/i</t>
  </si>
  <si>
    <t>ourtool</t>
  </si>
  <si>
    <t>TC01 Home loads with full navbar + Biography
TC02 Home → Research → Home
TC03 Home → Tools → Home
TC04 Home → Publications → Home (search/Type/Date widgets present)
TC05 Publications → "On the Soundness…" detail page (title, authors, abstract, PDF/Cite)
TC06 Publications search filter (typing "On the Soundness" hides other entries)
TC07 Publications Type/Date &lt;select&gt; filters are populated and selectable
TC08 Home → Teaching → Home
TC09 Teaching → Cours software Engineering → Home
TC10 Teaching → Cours PHP
TC11 Contact form fill + Send (self-loop back to Home per the graph)
TC12 Projects section filter tabs + "Testing" filter
TC13 Experience timeline content (Professor/Assistant Professor/ATER entries)</t>
  </si>
  <si>
    <t>1 transiiton not covered; 1 transition invented from navigation graph (teaching soft eng-&gt;home)</t>
  </si>
  <si>
    <t>"Act as a software tester expert in the generation of acceptance tests for web applications. Goal : Generate tests for the web application with the URL "https://google-gruyere.appspot.com/start".  Input : we have a graph expressing behavior of the application. the file ""navigation_graph.json"" describes the graph in json with nodes and interactions expressing transitions from one node to another. Screens in attachment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12 scenarios. The action Upload must not be considered.
 2. check and provide these scenarios 
3. generate one test script using playwright for each scenario. Use the xpaths in xpath_mapping.json here. 
4. check the code carefully."</t>
  </si>
  <si>
    <t>Act as a software tester expert in the generation of acceptance tests for web applications. Goal : Generate tests for the web application with the URL "http://localhost/watermanagement".  Input : we have a graph expressing behavior of the application. the file "navigation_graph.json" describes the graph in json with nodes and interactions expressing transitions from one node to another. Screens zipped in the file screenshots.zip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32 scenarios. 
 2. check and provide these scenarios 
3. generate one test script using playwright for each scenario. Use the xpaths in xpath_mapping.json here. 
4. check the code carefully.</t>
  </si>
  <si>
    <t>Act as a software tester expert in the generation of acceptance tests for web applications.
Goal : Generate tests for the web application with the URL "https://perso.limos.fr/~sesalva/". 
Input : we have a graph expressing behavior of the application. the file "navigation_graph.json" describes the graph in json with nodes and interactions expressing transitions from one node to another. Screens in attachment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13 acceptance tests. Always start from the root of the application.  
2. check and provide these scenarios
3. generate one test script using playwright for each scenario. Use the xpaths in xpath_mapping.json here.
4. check the code carefully.</t>
  </si>
  <si>
    <t>Act as a software tester expert in the generation of acceptance tests for web applications.
Goal : Generate tests for the web application with the URL "http://localhost/watermanagement". 
Input : we have a graph expressing behavior of the application. the file "navigation_graph.json" describes the graph in json with nodes and interactions expressing transitions from one node to another. Screens zipped in the file screenshots.zip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32 acceptance tests. Always start from the root of the application.  
2. check and provide these scenarios
3. generate one test script using playwright for each scenario. Use the xpaths in xpath_mapping.json here.
4. check the code carefully.</t>
  </si>
  <si>
    <t>wrong locators like await expect(page.getByRole('heading', { name: 'Vendors' })).toBeVisible();</t>
  </si>
  <si>
    <t xml:space="preserve">missing transitions in wireframe ? </t>
  </si>
  <si>
    <t>01 | Login success | Login -&gt; Dashboard | 01-authentication.spec.js |
| 02 | Login -&gt; Register link | (Login screen element) | 01-authentication.spec.js |
| 03 | Register success | Register -&gt; Login | 01-authentication.spec.js |
| 04 | Dashboard -&gt; Vendors (menu) | Dashboard -&gt; Vendors | 02-dashboard.spec.js |
| 05 | Dashboard -&gt; Customers (menu) | Dashboard -&gt; Customers | 02-dashboard.spec.js |
| 06 | Dashboard -&gt; Products (menu) | Dashboard -&gt; Products | 02-dashboard.spec.js |
| 07 | Dashboard -&gt; Orders (menu) | Dashboard -&gt; Orders | 02-dashboard.spec.js |
| 08 | Dashboard View Details -&gt; Vendors | (Dashboard widget) | 02-dashboard.spec.js |
| 09 | Dashboard View Details -&gt; Customers | (Dashboard widget) | 02-dashboard.spec.js |
| 10 | Dashboard View Details -&gt; Products | (Dashboard widget) | 02-dashboard.spec.js |
| 11 | Vendors search | Vendors -&gt; VendorsSearchResults | 03-vendors.spec.js |
| 12 | Vendors search Back | VendorsSearchResults -&gt; Vendors | 03-vendors.spec.js |
| 13 | Add vendor | AddVendor -&gt; AddVendorSuccess | 03-vendors.spec.js |
| 14 | Edit vendor | EditVendor -&gt; EditVendorSuccess | 03-vendors.spec.js |
| 15 | Delete vendor | Vendors -&gt; DeleteVendorSuccess | 03-vendors.spec.js |
| 16 | Buy from vendor | Vendors -&gt; ConfirmBuy -&gt; BuySuccess | 03-vendors.spec.js |
| 17 | Customers search | Customers -&gt; CustomersSearchResults | 04-customers.spec.js |
| 18 | Customers search Back | CustomersSearchResults -&gt; Customers | 04-customers.spec.js |
| 19 | Add customer | AddCustomer -&gt; AddCustomerSuccess | 04-customers.spec.js |
| 20 | Edit customer | EditCustomer -&gt; EditCustomerSuccess | 04-customers.spec.js |
| 21 | Delete customer | Customers -&gt; DeleteCustomerSuccess | 04-customers.spec.js |
| 22 | Sell product | SellProduct -&gt; SellSuccess | 04-customers.spec.js |
| 23 | Products search | (gap vs. graph) | 05-products.spec.js |
| 24 | Products search Back | (gap vs. graph) | 05-products.spec.js |
| 25 | Add product | AddProduct -&gt; AddProductSuccess | 05-products.spec.js |
| 26 | Edit product | EditProduct -&gt; EditProductSuccess | 05-products.spec.js |
| 27 | Delete product | (gap vs. graph) | 05-products.spec.js |
| 28 | Orders search | (gap vs. graph) | 06-orders.spec.js |
| 29 | Orders search Back | (gap vs. graph) | 06-orders.spec.js |
| 30 | Toggle order payment status | Orders -&gt; UpdatePaidstatus | 06-orders.spec.js |
| 31 | Delete order | Orders -&gt; DeleteOrderSuccess | 06-orders.spec.js |
| 32 | View order bill | Orders -&gt; ViewBill | 06-orders.spec.js |</t>
  </si>
  <si>
    <t xml:space="preserve">
| ID    | Module       | Scenario                                      | Entry Point     |
|-------|--------------|-----------------------------------------------|-----------------|
| TC01  | Auth         | Successful Login                              | Login page      |
| TC02  | Auth         | Navigate to Register from Login               | Login page      |
| TC03  | Auth         | Successful Registration                       | Login → Register|
| TC04  | Dashboard    | Summary cards shown                           | Login → Dashboard|
| TC05  | Vendors      | Navigate via side-menu                        | Dashboard       |
| TC06  | Vendors      | Search vendor by name                         | Vendors page    |
| TC07  | Vendors      | Back from vendor search results               | Vendor Search   |
| TC08  | Vendors      | Add new vendor                                | Vendors page    |
| TC09  | Vendors      | Edit vendor                                   | Vendors page    |
| TC10  | Vendors      | Delete vendor                                 | Vendors page    |
| TC11  | Vendors      | Initiate Buy → Confirm Buy page               | Vendors page    |
| TC12  | Vendors      | Complete Buy → Buy Success                    | Confirm Buy page|
| TC13  | Customers    | Navigate via side-menu                        | Dashboard       |
| TC14  | Customers    | Search customer by name                       | Customers page  |
| TC15  | Customers    | Back from customer search results             | Customer Search |
| TC16  | Customers    | Add new customer                              | Customers page  |
| TC17  | Customers    | Edit customer                                 | Customers page  |
| TC18  | Customers    | Delete customer                               | Customers page  |
| TC19  | Customers    | Sell product (Pending payment)                | Customers page  |
| TC20  | Customers    | Sell product (Paid payment)                   | Customers page  |
| TC21  | Products     | Navigate via side-menu                        | Dashboard       |
| TC22  | Products     | Search product by name                        | Products page   |
| TC23  | Products     | Back from product search results              | Product Search  |
| TC24  | Products     | Add new product                               | Products page   |
| TC25  | Products     | Edit product                                  | Products page   |
| TC26  | Orders       | Navigate via side-menu                        | Dashboard       |
| TC27  | Orders       | Search orders                                 | Orders page     |
| TC28  | Orders       | Mark order as Paid                            | Orders page     |
| TC29  | Orders       | View Bill for an order                        | Orders page     |
| TC30  | Orders       | Delete an order                               | Orders page     |
| TC31  | Dashboard    | Quick link – View Details Vendors             | Dashboard       |
| TC32  | Dashboard    | Quick link – View Details Products            | Dashboard       |</t>
  </si>
  <si>
    <t>all transition covered ; covers 2 more transitions than navigation graph (click paid checkbox)</t>
  </si>
  <si>
    <t>wrong locators mostly '//*[@id="page-wrapper"]/div[2]/a/h4'
locator('h1, h2, h3').filter({ hasText: 'Customer' }</t>
  </si>
  <si>
    <t>All the failling tests are due to assertions problems, as we rely on the extract text using the vlm, for the same text (e.g Quantity , Quantity: ) sometimes it includes the symbols and others not, this make some asssertions texts included in other which cause them to fail in verification</t>
  </si>
  <si>
    <t>Act as a software tester expert in the generation of acceptance tests for web applications. Goal : Generate tests for the web application with the URL "http://localhost/opencart".  Input : we have a graph expressing behavior of the application. the file "navigation_graph.json" describes the graph in json with nodes and interactions expressing transitions from one node to another. Screens zipped in the file screenshots.zip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42 scenarios. 
 2. check and provide these scenarios 
3. generate one test script using playwright for each scenario. Use the xpaths in xpath_mapping.json here. 
4. check the code carefully.</t>
  </si>
  <si>
    <t>"Act as a software tester expert in the generation of acceptance tests for web applications.
Goal : Generate tests for the web application with the URL "http://localhost/opencart". 
Input : we have a graph expressing behavior of the application. the file ""navigation_graph.json"" describes the graph in json with nodes and interactions expressing transitions from one node to another. Screens zipped in the file screenshots.zip show Guis with UI elements and functional data. It is important to use this data. The file  ""xpath_mapping.json"" provides xpaths for some important UI elements. 
Output : test scenarios in natural language and test scripts written with playwright 
1. read the graph and the screens and extract 42 acceptance tests. Always start from the root of the application.  
2. check and provide these scenarios
3. generate one test script using playwright for each scenario. Use the xpaths in xpath_mapping.json here.
4. check the code carefully."</t>
  </si>
  <si>
    <t>| Group | Scenarios | Graph area covered |
|---|---|---|
| A. Anonymous browsing &amp; navigation | TC01–TC10 | `Home (Anonymous)` and its direct edges |
| B. Registration | TC11–TC15 | `Register Account`, `Account Created` |
| C. Login / Logout | TC16–TC20 | `Login`, `Logout` edge |
| D. My Account (authenticated) | TC21–TC25 | `My Account`, `Wishlist`, `Reward Points` |
| E. Catalog &amp; product detail | TC26–TC31 | `Home (Authenticated)` → category → product → cart |
| F. Cart management | TC32–TC35 | `Shopping Cart` actions |
| G. Checkout &amp; order placement | TC36–TC42 | Full checkout funnel → `Order Success` |</t>
  </si>
  <si>
    <t>lots of files, not executable, errors   await page.locator(xp('Home_Anonymous', 'My Account')).click();</t>
  </si>
  <si>
    <t>| Group | Scenarios | Edges from navigation_graph.json covered |
|---|---|---|
| A — Dropdown / Login / Register / Logout | TC-01 – TC-09 | 1,2,3,4,5,6,7,8,42 |
| B — Anonymous home navigation | TC-10 – TC-17 | 9,10,11,12,13,14,15,16 |
| C — Authenticated home navigation | TC-18 – TC-27 | 17,20,21,22,23,24,25,39,40,41 |
| D — Cart &amp; checkout | TC-28 – TC-38 | 26,27,30,31,32,33,34,35,36,37,38 |
| E — Reward Points &amp; Wish List | TC-39 – TC-42 | 18,19,28,29 |</t>
  </si>
  <si>
    <t>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</si>
</sst>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Arial Unicode MS"/>
      <family val="2"/>
    </font>
    <font>
      <sz val="12"/>
      <color rgb="FF000000"/>
      <name val="Aptos Narrow"/>
      <family val="2"/>
      <scheme val="minor"/>
    </font>
    <font>
      <sz val="11"/>
      <color rgb="FFA31515"/>
      <name val="Menlo"/>
      <family val="2"/>
    </font>
    <font>
      <sz val="10"/>
      <color rgb="FF000000"/>
      <name val="Arial"/>
      <family val="2"/>
    </font>
  </fonts>
  <fills count="5">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xf numFmtId="0" fontId="0" fillId="2" borderId="0" xfId="0" applyFill="1"/>
    <xf numFmtId="0" fontId="2" fillId="2" borderId="0" xfId="0" applyFont="1" applyFill="1"/>
    <xf numFmtId="0" fontId="0" fillId="3" borderId="0" xfId="0" applyFill="1"/>
    <xf numFmtId="0" fontId="0" fillId="4" borderId="0" xfId="0" applyFill="1"/>
    <xf numFmtId="0" fontId="3" fillId="0" borderId="0" xfId="0" applyFont="1" applyAlignment="1">
      <alignment wrapText="1"/>
    </xf>
    <xf numFmtId="10" fontId="4" fillId="0" borderId="0" xfId="0" applyNumberFormat="1"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5773-0E0B-EB4D-A723-F444D026C299}">
  <dimension ref="A1:H61"/>
  <sheetViews>
    <sheetView tabSelected="1" topLeftCell="A45" zoomScale="110" zoomScaleNormal="110" workbookViewId="0">
      <selection activeCell="D61" sqref="D61"/>
    </sheetView>
  </sheetViews>
  <sheetFormatPr baseColWidth="10" defaultRowHeight="16" x14ac:dyDescent="0.2"/>
  <cols>
    <col min="2" max="2" width="35.5" customWidth="1"/>
    <col min="3" max="3" width="11.83203125" customWidth="1"/>
    <col min="4" max="4" width="24.33203125" customWidth="1"/>
    <col min="8" max="8" width="20" customWidth="1"/>
  </cols>
  <sheetData>
    <row r="1" spans="1:8" x14ac:dyDescent="0.2">
      <c r="A1" t="s">
        <v>0</v>
      </c>
      <c r="B1" t="s">
        <v>1</v>
      </c>
    </row>
    <row r="4" spans="1:8" x14ac:dyDescent="0.2">
      <c r="A4" s="5" t="s">
        <v>2</v>
      </c>
      <c r="B4" s="5" t="s">
        <v>31</v>
      </c>
      <c r="D4" s="6" t="s">
        <v>32</v>
      </c>
      <c r="F4" s="6" t="s">
        <v>33</v>
      </c>
      <c r="H4" s="6" t="s">
        <v>34</v>
      </c>
    </row>
    <row r="6" spans="1:8" x14ac:dyDescent="0.2">
      <c r="A6" s="5" t="s">
        <v>29</v>
      </c>
      <c r="B6" s="5" t="s">
        <v>30</v>
      </c>
    </row>
    <row r="7" spans="1:8" ht="409.5" x14ac:dyDescent="0.2">
      <c r="A7" s="3" t="s">
        <v>4</v>
      </c>
      <c r="B7" s="1" t="s">
        <v>52</v>
      </c>
      <c r="D7" s="1" t="s">
        <v>42</v>
      </c>
      <c r="F7" s="1" t="s">
        <v>63</v>
      </c>
      <c r="H7" s="1" t="s">
        <v>53</v>
      </c>
    </row>
    <row r="8" spans="1:8" x14ac:dyDescent="0.2">
      <c r="A8" s="3"/>
    </row>
    <row r="9" spans="1:8" ht="409.6" x14ac:dyDescent="0.2">
      <c r="A9" s="3" t="s">
        <v>5</v>
      </c>
      <c r="B9" s="1"/>
      <c r="D9" s="1" t="s">
        <v>45</v>
      </c>
      <c r="F9" s="1" t="s">
        <v>65</v>
      </c>
      <c r="H9" s="1" t="s">
        <v>58</v>
      </c>
    </row>
    <row r="10" spans="1:8" x14ac:dyDescent="0.2">
      <c r="A10" s="3" t="s">
        <v>44</v>
      </c>
      <c r="B10">
        <f>9/13</f>
        <v>0.69230769230769229</v>
      </c>
      <c r="D10">
        <f>11/15</f>
        <v>0.73333333333333328</v>
      </c>
      <c r="F10">
        <f>(42-8)/42</f>
        <v>0.80952380952380953</v>
      </c>
      <c r="H10">
        <f>32/33</f>
        <v>0.96969696969696972</v>
      </c>
    </row>
    <row r="11" spans="1:8" x14ac:dyDescent="0.2">
      <c r="B11" s="1"/>
      <c r="H11" t="s">
        <v>57</v>
      </c>
    </row>
    <row r="12" spans="1:8" x14ac:dyDescent="0.2">
      <c r="A12" s="3" t="s">
        <v>35</v>
      </c>
      <c r="B12">
        <v>10</v>
      </c>
      <c r="D12">
        <v>13</v>
      </c>
      <c r="F12">
        <v>42</v>
      </c>
      <c r="H12">
        <v>32</v>
      </c>
    </row>
    <row r="13" spans="1:8" x14ac:dyDescent="0.2">
      <c r="A13" s="3" t="s">
        <v>3</v>
      </c>
      <c r="B13">
        <v>0.5</v>
      </c>
      <c r="D13">
        <f>9/13</f>
        <v>0.69230769230769229</v>
      </c>
      <c r="F13">
        <v>0</v>
      </c>
      <c r="H13">
        <f>8/32</f>
        <v>0.25</v>
      </c>
    </row>
    <row r="14" spans="1:8" x14ac:dyDescent="0.2">
      <c r="A14" s="3"/>
      <c r="D14" t="s">
        <v>43</v>
      </c>
      <c r="F14" t="s">
        <v>66</v>
      </c>
      <c r="H14" t="s">
        <v>56</v>
      </c>
    </row>
    <row r="16" spans="1:8" x14ac:dyDescent="0.2">
      <c r="A16" s="5" t="s">
        <v>24</v>
      </c>
      <c r="B16" s="5" t="s">
        <v>25</v>
      </c>
    </row>
    <row r="17" spans="1:8" ht="409.5" x14ac:dyDescent="0.2">
      <c r="A17" s="3" t="s">
        <v>4</v>
      </c>
      <c r="B17" s="1" t="s">
        <v>47</v>
      </c>
      <c r="C17" s="1"/>
      <c r="D17" s="1" t="s">
        <v>54</v>
      </c>
      <c r="F17" s="1" t="s">
        <v>64</v>
      </c>
      <c r="H17" s="1" t="s">
        <v>55</v>
      </c>
    </row>
    <row r="18" spans="1:8" x14ac:dyDescent="0.2">
      <c r="D18" s="1"/>
    </row>
    <row r="19" spans="1:8" ht="409.6" x14ac:dyDescent="0.2">
      <c r="A19" s="3" t="s">
        <v>5</v>
      </c>
      <c r="B19" s="1" t="s">
        <v>6</v>
      </c>
      <c r="D19" s="1" t="s">
        <v>50</v>
      </c>
      <c r="F19" s="1" t="s">
        <v>67</v>
      </c>
      <c r="H19" s="1" t="s">
        <v>59</v>
      </c>
    </row>
    <row r="20" spans="1:8" x14ac:dyDescent="0.2">
      <c r="A20" s="3" t="s">
        <v>46</v>
      </c>
      <c r="B20" s="1">
        <v>1</v>
      </c>
      <c r="D20">
        <f>14/15</f>
        <v>0.93333333333333335</v>
      </c>
      <c r="F20">
        <f>41/42</f>
        <v>0.97619047619047616</v>
      </c>
      <c r="H20">
        <f>33/33</f>
        <v>1</v>
      </c>
    </row>
    <row r="21" spans="1:8" ht="17" x14ac:dyDescent="0.2">
      <c r="A21" s="3" t="s">
        <v>21</v>
      </c>
      <c r="B21" s="1" t="s">
        <v>7</v>
      </c>
      <c r="D21" t="s">
        <v>51</v>
      </c>
      <c r="H21" t="s">
        <v>60</v>
      </c>
    </row>
    <row r="22" spans="1:8" ht="17" x14ac:dyDescent="0.2">
      <c r="B22" s="1" t="s">
        <v>23</v>
      </c>
    </row>
    <row r="23" spans="1:8" ht="17" x14ac:dyDescent="0.2">
      <c r="B23" s="1" t="s">
        <v>26</v>
      </c>
    </row>
    <row r="24" spans="1:8" x14ac:dyDescent="0.2">
      <c r="A24" s="3" t="s">
        <v>36</v>
      </c>
      <c r="B24">
        <v>12</v>
      </c>
      <c r="D24">
        <v>13</v>
      </c>
      <c r="F24">
        <v>42</v>
      </c>
      <c r="H24">
        <v>32</v>
      </c>
    </row>
    <row r="25" spans="1:8" x14ac:dyDescent="0.2">
      <c r="A25" s="3" t="s">
        <v>3</v>
      </c>
      <c r="B25">
        <v>0.75</v>
      </c>
      <c r="D25">
        <f>7/13</f>
        <v>0.53846153846153844</v>
      </c>
      <c r="F25">
        <v>0</v>
      </c>
      <c r="H25">
        <f>26/32</f>
        <v>0.8125</v>
      </c>
    </row>
    <row r="26" spans="1:8" ht="144" x14ac:dyDescent="0.2">
      <c r="B26" t="s">
        <v>8</v>
      </c>
      <c r="D26" t="s">
        <v>48</v>
      </c>
      <c r="H26" s="7" t="s">
        <v>61</v>
      </c>
    </row>
    <row r="27" spans="1:8" x14ac:dyDescent="0.2">
      <c r="B27" t="s">
        <v>9</v>
      </c>
    </row>
    <row r="29" spans="1:8" x14ac:dyDescent="0.2">
      <c r="A29" s="5" t="s">
        <v>27</v>
      </c>
      <c r="B29" s="5" t="s">
        <v>28</v>
      </c>
    </row>
    <row r="30" spans="1:8" x14ac:dyDescent="0.2">
      <c r="A30" s="3" t="s">
        <v>10</v>
      </c>
      <c r="B30" t="s">
        <v>11</v>
      </c>
    </row>
    <row r="32" spans="1:8" x14ac:dyDescent="0.2">
      <c r="A32" s="3" t="s">
        <v>5</v>
      </c>
      <c r="B32" t="s">
        <v>12</v>
      </c>
    </row>
    <row r="33" spans="1:2" x14ac:dyDescent="0.2">
      <c r="B33" t="s">
        <v>13</v>
      </c>
    </row>
    <row r="34" spans="1:2" x14ac:dyDescent="0.2">
      <c r="B34" t="s">
        <v>14</v>
      </c>
    </row>
    <row r="35" spans="1:2" x14ac:dyDescent="0.2">
      <c r="B35" t="s">
        <v>15</v>
      </c>
    </row>
    <row r="36" spans="1:2" x14ac:dyDescent="0.2">
      <c r="B36" t="s">
        <v>16</v>
      </c>
    </row>
    <row r="37" spans="1:2" x14ac:dyDescent="0.2">
      <c r="B37" t="s">
        <v>17</v>
      </c>
    </row>
    <row r="38" spans="1:2" x14ac:dyDescent="0.2">
      <c r="B38" t="s">
        <v>18</v>
      </c>
    </row>
    <row r="39" spans="1:2" x14ac:dyDescent="0.2">
      <c r="B39" t="s">
        <v>19</v>
      </c>
    </row>
    <row r="40" spans="1:2" x14ac:dyDescent="0.2">
      <c r="B40" t="s">
        <v>20</v>
      </c>
    </row>
    <row r="42" spans="1:2" x14ac:dyDescent="0.2">
      <c r="A42" s="3" t="s">
        <v>21</v>
      </c>
      <c r="B42" t="s">
        <v>22</v>
      </c>
    </row>
    <row r="43" spans="1:2" x14ac:dyDescent="0.2">
      <c r="A43" s="3" t="s">
        <v>36</v>
      </c>
      <c r="B43">
        <v>9</v>
      </c>
    </row>
    <row r="44" spans="1:2" x14ac:dyDescent="0.2">
      <c r="A44" s="4" t="s">
        <v>3</v>
      </c>
      <c r="B44" s="2">
        <v>0.88</v>
      </c>
    </row>
    <row r="45" spans="1:2" x14ac:dyDescent="0.2">
      <c r="B45" t="s">
        <v>8</v>
      </c>
    </row>
    <row r="46" spans="1:2" x14ac:dyDescent="0.2">
      <c r="B46" t="s">
        <v>9</v>
      </c>
    </row>
    <row r="51" spans="1:8" x14ac:dyDescent="0.2">
      <c r="A51" t="s">
        <v>37</v>
      </c>
    </row>
    <row r="52" spans="1:8" x14ac:dyDescent="0.2">
      <c r="A52" s="6" t="s">
        <v>38</v>
      </c>
      <c r="B52" s="5" t="s">
        <v>31</v>
      </c>
      <c r="C52" s="6" t="s">
        <v>32</v>
      </c>
      <c r="D52" s="6" t="s">
        <v>33</v>
      </c>
      <c r="E52" s="6" t="s">
        <v>34</v>
      </c>
    </row>
    <row r="53" spans="1:8" x14ac:dyDescent="0.2">
      <c r="A53" s="6" t="s">
        <v>46</v>
      </c>
    </row>
    <row r="54" spans="1:8" x14ac:dyDescent="0.2">
      <c r="A54" t="s">
        <v>49</v>
      </c>
      <c r="B54">
        <v>1</v>
      </c>
      <c r="C54">
        <v>1</v>
      </c>
      <c r="D54" s="8">
        <v>0.78129999999999999</v>
      </c>
      <c r="E54">
        <v>1</v>
      </c>
      <c r="H54" s="9" t="s">
        <v>62</v>
      </c>
    </row>
    <row r="55" spans="1:8" x14ac:dyDescent="0.2">
      <c r="A55" t="s">
        <v>40</v>
      </c>
      <c r="B55">
        <f>9/13</f>
        <v>0.69230769230769229</v>
      </c>
      <c r="C55">
        <f>11/15</f>
        <v>0.73333333333333328</v>
      </c>
      <c r="D55">
        <v>80.900000000000006</v>
      </c>
      <c r="E55">
        <f>32/33</f>
        <v>0.96969696969696972</v>
      </c>
    </row>
    <row r="56" spans="1:8" x14ac:dyDescent="0.2">
      <c r="A56" t="s">
        <v>41</v>
      </c>
      <c r="B56">
        <v>1</v>
      </c>
      <c r="C56">
        <f>14/15</f>
        <v>0.93333333333333335</v>
      </c>
      <c r="D56">
        <v>97.6</v>
      </c>
      <c r="E56">
        <v>1</v>
      </c>
    </row>
    <row r="58" spans="1:8" x14ac:dyDescent="0.2">
      <c r="A58" s="6" t="s">
        <v>39</v>
      </c>
    </row>
    <row r="59" spans="1:8" x14ac:dyDescent="0.2">
      <c r="A59" t="s">
        <v>49</v>
      </c>
      <c r="B59">
        <v>1</v>
      </c>
      <c r="C59">
        <v>1</v>
      </c>
    </row>
    <row r="60" spans="1:8" x14ac:dyDescent="0.2">
      <c r="A60" t="s">
        <v>40</v>
      </c>
      <c r="B60">
        <v>0.5</v>
      </c>
      <c r="C60">
        <f>9/13</f>
        <v>0.69230769230769229</v>
      </c>
      <c r="D60">
        <v>0</v>
      </c>
      <c r="E60">
        <v>0.25</v>
      </c>
    </row>
    <row r="61" spans="1:8" x14ac:dyDescent="0.2">
      <c r="A61" t="s">
        <v>41</v>
      </c>
      <c r="B61">
        <v>0.75</v>
      </c>
      <c r="C61">
        <f>7/13</f>
        <v>0.53846153846153844</v>
      </c>
      <c r="D61" t="s">
        <v>68</v>
      </c>
      <c r="E61">
        <f>26/32</f>
        <v>0.8125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claude code comp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Sebastien SALVA</dc:creator>
  <cp:lastModifiedBy>Sebastien SALVA</cp:lastModifiedBy>
  <dcterms:created xsi:type="dcterms:W3CDTF">2026-06-01T05:46:34Z</dcterms:created>
  <dcterms:modified xsi:type="dcterms:W3CDTF">2026-06-21T12:11:00Z</dcterms:modified>
</cp:coreProperties>
</file>